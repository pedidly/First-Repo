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atalogue" sheetId="2" state="visible" r:id="rId2"/>
    <sheet name="Orders" sheetId="3" state="visible" r:id="rId3"/>
    <sheet name="Mon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EUR&quot;"/>
    <numFmt numFmtId="165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FF15191E"/>
      <sz val="13"/>
    </font>
    <font>
      <name val="Calibri"/>
      <i val="1"/>
      <color rgb="FF6E7883"/>
      <sz val="9"/>
    </font>
    <font>
      <name val="Calibri"/>
      <b val="1"/>
      <color rgb="FF6E7883"/>
      <sz val="9"/>
    </font>
    <font>
      <name val="Calibri"/>
      <sz val="11"/>
    </font>
    <font>
      <name val="Calibri"/>
      <b val="1"/>
      <color rgb="FFA65C08"/>
      <sz val="11"/>
    </font>
    <font>
      <name val="Calibri"/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E3E7EC"/>
      </patternFill>
    </fill>
    <fill>
      <patternFill patternType="solid">
        <fgColor rgb="FFF3E6D2"/>
      </patternFill>
    </fill>
  </fills>
  <borders count="2">
    <border>
      <left/>
      <right/>
      <top/>
      <bottom/>
      <diagonal/>
    </border>
    <border>
      <bottom style="thin">
        <color rgb="FFC6CD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5" fillId="3" borderId="0" pivotButton="0" quotePrefix="0" xfId="0"/>
    <xf numFmtId="2" fontId="5" fillId="3" borderId="0" pivotButton="0" quotePrefix="0" xfId="0"/>
    <xf numFmtId="164" fontId="0" fillId="0" borderId="0" pivotButton="0" quotePrefix="0" xfId="0"/>
    <xf numFmtId="164" fontId="6" fillId="0" borderId="0" pivotButton="0" quotePrefix="0" xfId="0"/>
    <xf numFmtId="9" fontId="0" fillId="0" borderId="0" pivotButton="0" quotePrefix="0" xfId="0"/>
    <xf numFmtId="0" fontId="7" fillId="0" borderId="0" pivotButton="0" quotePrefix="0" xfId="0"/>
    <xf numFmtId="165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Settings</t>
        </is>
      </c>
    </row>
    <row r="2">
      <c r="A2" s="2" t="inlineStr">
        <is>
          <t>Change a number here and the whole workbook reprices.</t>
        </is>
      </c>
    </row>
    <row r="4" ht="26" customHeight="1">
      <c r="A4" s="3" t="inlineStr">
        <is>
          <t>Setting</t>
        </is>
      </c>
      <c r="B4" s="3" t="inlineStr">
        <is>
          <t>Value</t>
        </is>
      </c>
      <c r="C4" s="3" t="inlineStr">
        <is>
          <t>Why</t>
        </is>
      </c>
    </row>
    <row r="5">
      <c r="A5" s="4" t="inlineStr">
        <is>
          <t>Filament price per kg</t>
        </is>
      </c>
      <c r="B5" s="5" t="n">
        <v>22</v>
      </c>
      <c r="C5" s="2" t="inlineStr">
        <is>
          <t>What you actually pay, delivered</t>
        </is>
      </c>
    </row>
    <row r="6">
      <c r="A6" s="4" t="inlineStr">
        <is>
          <t>Waste factor</t>
        </is>
      </c>
      <c r="B6" s="6" t="n">
        <v>1.08</v>
      </c>
      <c r="C6" s="2" t="inlineStr">
        <is>
          <t>Purge on colour change, skirts, reprints</t>
        </is>
      </c>
    </row>
    <row r="7">
      <c r="A7" s="4" t="inlineStr">
        <is>
          <t>Machine rate per hour</t>
        </is>
      </c>
      <c r="B7" s="5" t="n">
        <v>2</v>
      </c>
      <c r="C7" s="2" t="inlineStr">
        <is>
          <t>Power, wear, nozzles, plates, failures</t>
        </is>
      </c>
    </row>
    <row r="8">
      <c r="A8" s="4" t="inlineStr">
        <is>
          <t>Labour rate per hour</t>
        </is>
      </c>
      <c r="B8" s="5" t="n">
        <v>30</v>
      </c>
      <c r="C8" s="2" t="inlineStr">
        <is>
          <t>What your evening is worth</t>
        </is>
      </c>
    </row>
    <row r="9">
      <c r="A9" s="4" t="inlineStr">
        <is>
          <t>Packaging per order</t>
        </is>
      </c>
      <c r="B9" s="5" t="n">
        <v>1</v>
      </c>
      <c r="C9" s="2" t="inlineStr">
        <is>
          <t>Box, bag, label</t>
        </is>
      </c>
    </row>
    <row r="10">
      <c r="A10" s="4" t="inlineStr">
        <is>
          <t>Personalisation multiplier</t>
        </is>
      </c>
      <c r="B10" s="6" t="n">
        <v>1.7</v>
      </c>
      <c r="C10" s="2" t="inlineStr">
        <is>
          <t>What the name on it is worth</t>
        </is>
      </c>
    </row>
    <row r="11">
      <c r="A11" s="4" t="inlineStr">
        <is>
          <t>Minimum shipped price</t>
        </is>
      </c>
      <c r="B11" s="5" t="n">
        <v>8</v>
      </c>
      <c r="C11" s="2" t="inlineStr">
        <is>
          <t>Below this, postage eats it</t>
        </is>
      </c>
    </row>
    <row r="12">
      <c r="A12" s="4" t="inlineStr">
        <is>
          <t>Custom job minimum</t>
        </is>
      </c>
      <c r="B12" s="5" t="n">
        <v>30</v>
      </c>
      <c r="C12" s="2" t="inlineStr">
        <is>
          <t>No exceptions, ever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  <col width="34" customWidth="1" min="11" max="11"/>
  </cols>
  <sheetData>
    <row r="1">
      <c r="A1" s="1" t="inlineStr">
        <is>
          <t>Catalogue</t>
        </is>
      </c>
    </row>
    <row r="2">
      <c r="A2" s="2" t="inlineStr">
        <is>
          <t>Sort by return per print-hour. Kill anything that has not sold twice.</t>
        </is>
      </c>
    </row>
    <row r="4" ht="26" customHeight="1">
      <c r="A4" s="3" t="inlineStr">
        <is>
          <t>Product</t>
        </is>
      </c>
      <c r="B4" s="3" t="inlineStr">
        <is>
          <t>Grams</t>
        </is>
      </c>
      <c r="C4" s="3" t="inlineStr">
        <is>
          <t>Print hrs</t>
        </is>
      </c>
      <c r="D4" s="3" t="inlineStr">
        <is>
          <t>Hands-on min</t>
        </is>
      </c>
      <c r="E4" s="3" t="inlineStr">
        <is>
          <t>Material</t>
        </is>
      </c>
      <c r="F4" s="3" t="inlineStr">
        <is>
          <t>Cost floor</t>
        </is>
      </c>
      <c r="G4" s="3" t="inlineStr">
        <is>
          <t>Suggested</t>
        </is>
      </c>
      <c r="H4" s="3" t="inlineStr">
        <is>
          <t>List price</t>
        </is>
      </c>
      <c r="I4" s="3" t="inlineStr">
        <is>
          <t>Per print-hr</t>
        </is>
      </c>
      <c r="J4" s="3" t="inlineStr">
        <is>
          <t>Margin</t>
        </is>
      </c>
      <c r="K4" s="3" t="inlineStr">
        <is>
          <t>Notes</t>
        </is>
      </c>
    </row>
    <row r="5">
      <c r="A5" s="4" t="inlineStr">
        <is>
          <t>Replacement part, custom</t>
        </is>
      </c>
      <c r="B5" t="n">
        <v>40</v>
      </c>
      <c r="C5" t="n">
        <v>2</v>
      </c>
      <c r="D5" t="n">
        <v>25</v>
      </c>
      <c r="E5" s="7">
        <f>B5*Settings!$B$5/1000*Settings!$B$6</f>
        <v/>
      </c>
      <c r="F5" s="7">
        <f>E5+C5*Settings!$B$7+D5/60*Settings!$B$8+Settings!$B$9</f>
        <v/>
      </c>
      <c r="G5" s="7">
        <f>MAX(Settings!$B$11,CEILING(F5*Settings!$B$10,0.5))</f>
        <v/>
      </c>
      <c r="H5" s="8" t="n">
        <v>35</v>
      </c>
      <c r="I5" s="7">
        <f>IF(C5=0,0,(H5-E5-Settings!$B$9)/C5)</f>
        <v/>
      </c>
      <c r="J5" s="9">
        <f>IF(H5=0,0,(H5-E5-Settings!$B$9)/H5)</f>
        <v/>
      </c>
      <c r="K5" s="2" t="inlineStr">
        <is>
          <t>Quote per job, 30 EUR minimum</t>
        </is>
      </c>
    </row>
    <row r="6">
      <c r="A6" s="4" t="inlineStr">
        <is>
          <t>Pet tags x10</t>
        </is>
      </c>
      <c r="B6" t="n">
        <v>22</v>
      </c>
      <c r="C6" t="n">
        <v>1.1</v>
      </c>
      <c r="D6" t="n">
        <v>10</v>
      </c>
      <c r="E6" s="7">
        <f>B6*Settings!$B$5/1000*Settings!$B$6</f>
        <v/>
      </c>
      <c r="F6" s="7">
        <f>E6+C6*Settings!$B$7+D6/60*Settings!$B$8+Settings!$B$9</f>
        <v/>
      </c>
      <c r="G6" s="7">
        <f>MAX(Settings!$B$11,CEILING(F6*Settings!$B$10,0.5))</f>
        <v/>
      </c>
      <c r="H6" s="8" t="n">
        <v>12</v>
      </c>
      <c r="I6" s="7">
        <f>IF(C6=0,0,(H6-E6-Settings!$B$9)/C6)</f>
        <v/>
      </c>
      <c r="J6" s="9">
        <f>IF(H6=0,0,(H6-E6-Settings!$B$9)/H6)</f>
        <v/>
      </c>
      <c r="K6" s="2" t="inlineStr">
        <is>
          <t>PETG if it lives outdoors</t>
        </is>
      </c>
    </row>
    <row r="7">
      <c r="A7" s="4" t="inlineStr">
        <is>
          <t>Keychains x5</t>
        </is>
      </c>
      <c r="B7" t="n">
        <v>28</v>
      </c>
      <c r="C7" t="n">
        <v>1.4</v>
      </c>
      <c r="D7" t="n">
        <v>10</v>
      </c>
      <c r="E7" s="7">
        <f>B7*Settings!$B$5/1000*Settings!$B$6</f>
        <v/>
      </c>
      <c r="F7" s="7">
        <f>E7+C7*Settings!$B$7+D7/60*Settings!$B$8+Settings!$B$9</f>
        <v/>
      </c>
      <c r="G7" s="7">
        <f>MAX(Settings!$B$11,CEILING(F7*Settings!$B$10,0.5))</f>
        <v/>
      </c>
      <c r="H7" s="8" t="n">
        <v>14</v>
      </c>
      <c r="I7" s="7">
        <f>IF(C7=0,0,(H7-E7-Settings!$B$9)/C7)</f>
        <v/>
      </c>
      <c r="J7" s="9">
        <f>IF(H7=0,0,(H7-E7-Settings!$B$9)/H7)</f>
        <v/>
      </c>
      <c r="K7" s="2" t="inlineStr">
        <is>
          <t>Silk gold letters on matte black</t>
        </is>
      </c>
    </row>
    <row r="8">
      <c r="A8" s="4" t="inlineStr">
        <is>
          <t>Table numbers x10, logo</t>
        </is>
      </c>
      <c r="B8" t="n">
        <v>130</v>
      </c>
      <c r="C8" t="n">
        <v>5.5</v>
      </c>
      <c r="D8" t="n">
        <v>25</v>
      </c>
      <c r="E8" s="7">
        <f>B8*Settings!$B$5/1000*Settings!$B$6</f>
        <v/>
      </c>
      <c r="F8" s="7">
        <f>E8+C8*Settings!$B$7+D8/60*Settings!$B$8+Settings!$B$9</f>
        <v/>
      </c>
      <c r="G8" s="7">
        <f>MAX(Settings!$B$11,CEILING(F8*Settings!$B$10,0.5))</f>
        <v/>
      </c>
      <c r="H8" s="8" t="n">
        <v>55</v>
      </c>
      <c r="I8" s="7">
        <f>IF(C8=0,0,(H8-E8-Settings!$B$9)/C8)</f>
        <v/>
      </c>
      <c r="J8" s="9">
        <f>IF(H8=0,0,(H8-E8-Settings!$B$9)/H8)</f>
        <v/>
      </c>
      <c r="K8" s="2" t="inlineStr">
        <is>
          <t>Venues, weddings, cafes</t>
        </is>
      </c>
    </row>
    <row r="9">
      <c r="A9" s="4" t="inlineStr">
        <is>
          <t>Two-tone name sign</t>
        </is>
      </c>
      <c r="B9" t="n">
        <v>45</v>
      </c>
      <c r="C9" t="n">
        <v>2.3</v>
      </c>
      <c r="D9" t="n">
        <v>12</v>
      </c>
      <c r="E9" s="7">
        <f>B9*Settings!$B$5/1000*Settings!$B$6</f>
        <v/>
      </c>
      <c r="F9" s="7">
        <f>E9+C9*Settings!$B$7+D9/60*Settings!$B$8+Settings!$B$9</f>
        <v/>
      </c>
      <c r="G9" s="7">
        <f>MAX(Settings!$B$11,CEILING(F9*Settings!$B$10,0.5))</f>
        <v/>
      </c>
      <c r="H9" s="8" t="n">
        <v>22</v>
      </c>
      <c r="I9" s="7">
        <f>IF(C9=0,0,(H9-E9-Settings!$B$9)/C9)</f>
        <v/>
      </c>
      <c r="J9" s="9">
        <f>IF(H9=0,0,(H9-E9-Settings!$B$9)/H9)</f>
        <v/>
      </c>
      <c r="K9" s="2" t="inlineStr">
        <is>
          <t>The flagship. One pause.</t>
        </is>
      </c>
    </row>
    <row r="10">
      <c r="A10" s="4" t="inlineStr">
        <is>
          <t>Ornament set x8</t>
        </is>
      </c>
      <c r="B10" t="n">
        <v>70</v>
      </c>
      <c r="C10" t="n">
        <v>3.4</v>
      </c>
      <c r="D10" t="n">
        <v>15</v>
      </c>
      <c r="E10" s="7">
        <f>B10*Settings!$B$5/1000*Settings!$B$6</f>
        <v/>
      </c>
      <c r="F10" s="7">
        <f>E10+C10*Settings!$B$7+D10/60*Settings!$B$8+Settings!$B$9</f>
        <v/>
      </c>
      <c r="G10" s="7">
        <f>MAX(Settings!$B$11,CEILING(F10*Settings!$B$10,0.5))</f>
        <v/>
      </c>
      <c r="H10" s="8" t="n">
        <v>28</v>
      </c>
      <c r="I10" s="7">
        <f>IF(C10=0,0,(H10-E10-Settings!$B$9)/C10)</f>
        <v/>
      </c>
      <c r="J10" s="9">
        <f>IF(H10=0,0,(H10-E10-Settings!$B$9)/H10)</f>
        <v/>
      </c>
      <c r="K10" s="2" t="inlineStr">
        <is>
          <t>Q4 workhorse, batch the plate</t>
        </is>
      </c>
    </row>
    <row r="11">
      <c r="A11" s="4" t="inlineStr">
        <is>
          <t>Wall mount</t>
        </is>
      </c>
      <c r="B11" t="n">
        <v>55</v>
      </c>
      <c r="C11" t="n">
        <v>2.6</v>
      </c>
      <c r="D11" t="n">
        <v>8</v>
      </c>
      <c r="E11" s="7">
        <f>B11*Settings!$B$5/1000*Settings!$B$6</f>
        <v/>
      </c>
      <c r="F11" s="7">
        <f>E11+C11*Settings!$B$7+D11/60*Settings!$B$8+Settings!$B$9</f>
        <v/>
      </c>
      <c r="G11" s="7">
        <f>MAX(Settings!$B$11,CEILING(F11*Settings!$B$10,0.5))</f>
        <v/>
      </c>
      <c r="H11" s="8" t="n">
        <v>16</v>
      </c>
      <c r="I11" s="7">
        <f>IF(C11=0,0,(H11-E11-Settings!$B$9)/C11)</f>
        <v/>
      </c>
      <c r="J11" s="9">
        <f>IF(H11=0,0,(H11-E11-Settings!$B$9)/H11)</f>
        <v/>
      </c>
      <c r="K11" s="2" t="inlineStr">
        <is>
          <t>Headset, controller, tool</t>
        </is>
      </c>
    </row>
    <row r="12">
      <c r="A12" s="4" t="inlineStr">
        <is>
          <t>Gridfinity drawer kit x16</t>
        </is>
      </c>
      <c r="B12" t="n">
        <v>240</v>
      </c>
      <c r="C12" t="n">
        <v>9.5</v>
      </c>
      <c r="D12" t="n">
        <v>15</v>
      </c>
      <c r="E12" s="7">
        <f>B12*Settings!$B$5/1000*Settings!$B$6</f>
        <v/>
      </c>
      <c r="F12" s="7">
        <f>E12+C12*Settings!$B$7+D12/60*Settings!$B$8+Settings!$B$9</f>
        <v/>
      </c>
      <c r="G12" s="7">
        <f>MAX(Settings!$B$11,CEILING(F12*Settings!$B$10,0.5))</f>
        <v/>
      </c>
      <c r="H12" s="8" t="n">
        <v>42</v>
      </c>
      <c r="I12" s="7">
        <f>IF(C12=0,0,(H12-E12-Settings!$B$9)/C12)</f>
        <v/>
      </c>
      <c r="J12" s="9">
        <f>IF(H12=0,0,(H12-E12-Settings!$B$9)/H12)</f>
        <v/>
      </c>
      <c r="K12" s="2" t="inlineStr">
        <is>
          <t>Check the licence first</t>
        </is>
      </c>
    </row>
    <row r="13">
      <c r="A13" s="10" t="inlineStr">
        <is>
          <t>One of each</t>
        </is>
      </c>
      <c r="B13">
        <f>SUM(B5:B12)</f>
        <v/>
      </c>
      <c r="C13">
        <f>SUM(C5:C12)</f>
        <v/>
      </c>
      <c r="H13" s="7">
        <f>SUM(H5:H12)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8" customWidth="1" min="4" max="4"/>
    <col width="26" customWidth="1" min="5" max="5"/>
    <col width="6" customWidth="1" min="6" max="6"/>
    <col width="12" customWidth="1" min="7" max="7"/>
    <col width="10" customWidth="1" min="8" max="8"/>
    <col width="11" customWidth="1" min="9" max="9"/>
    <col width="12" customWidth="1" min="10" max="10"/>
    <col width="11" customWidth="1" min="11" max="11"/>
    <col width="7" customWidth="1" min="12" max="12"/>
    <col width="10" customWidth="1" min="13" max="13"/>
    <col width="11" customWidth="1" min="14" max="14"/>
    <col width="12" customWidth="1" min="15" max="15"/>
    <col width="13" customWidth="1" min="16" max="16"/>
    <col width="12" customWidth="1" min="17" max="17"/>
    <col width="30" customWidth="1" min="18" max="18"/>
  </cols>
  <sheetData>
    <row r="1">
      <c r="A1" s="1" t="inlineStr">
        <is>
          <t>Orders</t>
        </is>
      </c>
    </row>
    <row r="2">
      <c r="A2" s="2" t="inlineStr">
        <is>
          <t>One row per order. Fill columns A-I and the rest calculates.</t>
        </is>
      </c>
    </row>
    <row r="4" ht="26" customHeight="1">
      <c r="A4" s="3" t="inlineStr">
        <is>
          <t>Date</t>
        </is>
      </c>
      <c r="B4" s="3" t="inlineStr">
        <is>
          <t>Order</t>
        </is>
      </c>
      <c r="C4" s="3" t="inlineStr">
        <is>
          <t>Customer</t>
        </is>
      </c>
      <c r="D4" s="3" t="inlineStr">
        <is>
          <t>Channel</t>
        </is>
      </c>
      <c r="E4" s="3" t="inlineStr">
        <is>
          <t>Product</t>
        </is>
      </c>
      <c r="F4" s="3" t="inlineStr">
        <is>
          <t>Qty</t>
        </is>
      </c>
      <c r="G4" s="3" t="inlineStr">
        <is>
          <t>Grams total</t>
        </is>
      </c>
      <c r="H4" s="3" t="inlineStr">
        <is>
          <t>Print hrs</t>
        </is>
      </c>
      <c r="I4" s="3" t="inlineStr">
        <is>
          <t>Price each</t>
        </is>
      </c>
      <c r="J4" s="3" t="inlineStr">
        <is>
          <t>Revenue</t>
        </is>
      </c>
      <c r="K4" s="3" t="inlineStr">
        <is>
          <t>Material</t>
        </is>
      </c>
      <c r="L4" s="3" t="inlineStr">
        <is>
          <t>Fee %</t>
        </is>
      </c>
      <c r="M4" s="3" t="inlineStr">
        <is>
          <t>Fee</t>
        </is>
      </c>
      <c r="N4" s="3" t="inlineStr">
        <is>
          <t>Profit</t>
        </is>
      </c>
      <c r="O4" s="3" t="inlineStr">
        <is>
          <t>Per print-hr</t>
        </is>
      </c>
      <c r="P4" s="3" t="inlineStr">
        <is>
          <t>Status</t>
        </is>
      </c>
      <c r="Q4" s="3" t="inlineStr">
        <is>
          <t>Due</t>
        </is>
      </c>
      <c r="R4" s="3" t="inlineStr">
        <is>
          <t>Notes</t>
        </is>
      </c>
    </row>
    <row r="5">
      <c r="A5" s="11" t="n"/>
      <c r="I5" s="7" t="n"/>
      <c r="J5" s="7">
        <f>IF(F5="","",F5*I5)</f>
        <v/>
      </c>
      <c r="K5" s="7">
        <f>IF(G5="","",G5*Settings!$B$5/1000*Settings!$B$6)</f>
        <v/>
      </c>
      <c r="L5" s="9" t="n"/>
      <c r="M5" s="7">
        <f>IF(J5="","",J5*L5)</f>
        <v/>
      </c>
      <c r="N5" s="7">
        <f>IF(J5="","",J5-K5-M5-Settings!$B$9)</f>
        <v/>
      </c>
      <c r="O5" s="7">
        <f>IF(OR(H5="",H5=0),"",N5/H5)</f>
        <v/>
      </c>
      <c r="Q5" s="11" t="n"/>
    </row>
    <row r="6">
      <c r="A6" s="11" t="n"/>
      <c r="I6" s="7" t="n"/>
      <c r="J6" s="7">
        <f>IF(F6="","",F6*I6)</f>
        <v/>
      </c>
      <c r="K6" s="7">
        <f>IF(G6="","",G6*Settings!$B$5/1000*Settings!$B$6)</f>
        <v/>
      </c>
      <c r="L6" s="9" t="n"/>
      <c r="M6" s="7">
        <f>IF(J6="","",J6*L6)</f>
        <v/>
      </c>
      <c r="N6" s="7">
        <f>IF(J6="","",J6-K6-M6-Settings!$B$9)</f>
        <v/>
      </c>
      <c r="O6" s="7">
        <f>IF(OR(H6="",H6=0),"",N6/H6)</f>
        <v/>
      </c>
      <c r="Q6" s="11" t="n"/>
    </row>
    <row r="7">
      <c r="A7" s="11" t="n"/>
      <c r="I7" s="7" t="n"/>
      <c r="J7" s="7">
        <f>IF(F7="","",F7*I7)</f>
        <v/>
      </c>
      <c r="K7" s="7">
        <f>IF(G7="","",G7*Settings!$B$5/1000*Settings!$B$6)</f>
        <v/>
      </c>
      <c r="L7" s="9" t="n"/>
      <c r="M7" s="7">
        <f>IF(J7="","",J7*L7)</f>
        <v/>
      </c>
      <c r="N7" s="7">
        <f>IF(J7="","",J7-K7-M7-Settings!$B$9)</f>
        <v/>
      </c>
      <c r="O7" s="7">
        <f>IF(OR(H7="",H7=0),"",N7/H7)</f>
        <v/>
      </c>
      <c r="Q7" s="11" t="n"/>
    </row>
    <row r="8">
      <c r="A8" s="11" t="n"/>
      <c r="I8" s="7" t="n"/>
      <c r="J8" s="7">
        <f>IF(F8="","",F8*I8)</f>
        <v/>
      </c>
      <c r="K8" s="7">
        <f>IF(G8="","",G8*Settings!$B$5/1000*Settings!$B$6)</f>
        <v/>
      </c>
      <c r="L8" s="9" t="n"/>
      <c r="M8" s="7">
        <f>IF(J8="","",J8*L8)</f>
        <v/>
      </c>
      <c r="N8" s="7">
        <f>IF(J8="","",J8-K8-M8-Settings!$B$9)</f>
        <v/>
      </c>
      <c r="O8" s="7">
        <f>IF(OR(H8="",H8=0),"",N8/H8)</f>
        <v/>
      </c>
      <c r="Q8" s="11" t="n"/>
    </row>
    <row r="9">
      <c r="A9" s="11" t="n"/>
      <c r="I9" s="7" t="n"/>
      <c r="J9" s="7">
        <f>IF(F9="","",F9*I9)</f>
        <v/>
      </c>
      <c r="K9" s="7">
        <f>IF(G9="","",G9*Settings!$B$5/1000*Settings!$B$6)</f>
        <v/>
      </c>
      <c r="L9" s="9" t="n"/>
      <c r="M9" s="7">
        <f>IF(J9="","",J9*L9)</f>
        <v/>
      </c>
      <c r="N9" s="7">
        <f>IF(J9="","",J9-K9-M9-Settings!$B$9)</f>
        <v/>
      </c>
      <c r="O9" s="7">
        <f>IF(OR(H9="",H9=0),"",N9/H9)</f>
        <v/>
      </c>
      <c r="Q9" s="11" t="n"/>
    </row>
    <row r="10">
      <c r="A10" s="11" t="n"/>
      <c r="I10" s="7" t="n"/>
      <c r="J10" s="7">
        <f>IF(F10="","",F10*I10)</f>
        <v/>
      </c>
      <c r="K10" s="7">
        <f>IF(G10="","",G10*Settings!$B$5/1000*Settings!$B$6)</f>
        <v/>
      </c>
      <c r="L10" s="9" t="n"/>
      <c r="M10" s="7">
        <f>IF(J10="","",J10*L10)</f>
        <v/>
      </c>
      <c r="N10" s="7">
        <f>IF(J10="","",J10-K10-M10-Settings!$B$9)</f>
        <v/>
      </c>
      <c r="O10" s="7">
        <f>IF(OR(H10="",H10=0),"",N10/H10)</f>
        <v/>
      </c>
      <c r="Q10" s="11" t="n"/>
    </row>
    <row r="11">
      <c r="A11" s="11" t="n"/>
      <c r="I11" s="7" t="n"/>
      <c r="J11" s="7">
        <f>IF(F11="","",F11*I11)</f>
        <v/>
      </c>
      <c r="K11" s="7">
        <f>IF(G11="","",G11*Settings!$B$5/1000*Settings!$B$6)</f>
        <v/>
      </c>
      <c r="L11" s="9" t="n"/>
      <c r="M11" s="7">
        <f>IF(J11="","",J11*L11)</f>
        <v/>
      </c>
      <c r="N11" s="7">
        <f>IF(J11="","",J11-K11-M11-Settings!$B$9)</f>
        <v/>
      </c>
      <c r="O11" s="7">
        <f>IF(OR(H11="",H11=0),"",N11/H11)</f>
        <v/>
      </c>
      <c r="Q11" s="11" t="n"/>
    </row>
    <row r="12">
      <c r="A12" s="11" t="n"/>
      <c r="I12" s="7" t="n"/>
      <c r="J12" s="7">
        <f>IF(F12="","",F12*I12)</f>
        <v/>
      </c>
      <c r="K12" s="7">
        <f>IF(G12="","",G12*Settings!$B$5/1000*Settings!$B$6)</f>
        <v/>
      </c>
      <c r="L12" s="9" t="n"/>
      <c r="M12" s="7">
        <f>IF(J12="","",J12*L12)</f>
        <v/>
      </c>
      <c r="N12" s="7">
        <f>IF(J12="","",J12-K12-M12-Settings!$B$9)</f>
        <v/>
      </c>
      <c r="O12" s="7">
        <f>IF(OR(H12="",H12=0),"",N12/H12)</f>
        <v/>
      </c>
      <c r="Q12" s="11" t="n"/>
    </row>
    <row r="13">
      <c r="A13" s="11" t="n"/>
      <c r="I13" s="7" t="n"/>
      <c r="J13" s="7">
        <f>IF(F13="","",F13*I13)</f>
        <v/>
      </c>
      <c r="K13" s="7">
        <f>IF(G13="","",G13*Settings!$B$5/1000*Settings!$B$6)</f>
        <v/>
      </c>
      <c r="L13" s="9" t="n"/>
      <c r="M13" s="7">
        <f>IF(J13="","",J13*L13)</f>
        <v/>
      </c>
      <c r="N13" s="7">
        <f>IF(J13="","",J13-K13-M13-Settings!$B$9)</f>
        <v/>
      </c>
      <c r="O13" s="7">
        <f>IF(OR(H13="",H13=0),"",N13/H13)</f>
        <v/>
      </c>
      <c r="Q13" s="11" t="n"/>
    </row>
    <row r="14">
      <c r="A14" s="11" t="n"/>
      <c r="I14" s="7" t="n"/>
      <c r="J14" s="7">
        <f>IF(F14="","",F14*I14)</f>
        <v/>
      </c>
      <c r="K14" s="7">
        <f>IF(G14="","",G14*Settings!$B$5/1000*Settings!$B$6)</f>
        <v/>
      </c>
      <c r="L14" s="9" t="n"/>
      <c r="M14" s="7">
        <f>IF(J14="","",J14*L14)</f>
        <v/>
      </c>
      <c r="N14" s="7">
        <f>IF(J14="","",J14-K14-M14-Settings!$B$9)</f>
        <v/>
      </c>
      <c r="O14" s="7">
        <f>IF(OR(H14="",H14=0),"",N14/H14)</f>
        <v/>
      </c>
      <c r="Q14" s="11" t="n"/>
    </row>
    <row r="15">
      <c r="A15" s="11" t="n"/>
      <c r="I15" s="7" t="n"/>
      <c r="J15" s="7">
        <f>IF(F15="","",F15*I15)</f>
        <v/>
      </c>
      <c r="K15" s="7">
        <f>IF(G15="","",G15*Settings!$B$5/1000*Settings!$B$6)</f>
        <v/>
      </c>
      <c r="L15" s="9" t="n"/>
      <c r="M15" s="7">
        <f>IF(J15="","",J15*L15)</f>
        <v/>
      </c>
      <c r="N15" s="7">
        <f>IF(J15="","",J15-K15-M15-Settings!$B$9)</f>
        <v/>
      </c>
      <c r="O15" s="7">
        <f>IF(OR(H15="",H15=0),"",N15/H15)</f>
        <v/>
      </c>
      <c r="Q15" s="11" t="n"/>
    </row>
    <row r="16">
      <c r="A16" s="11" t="n"/>
      <c r="I16" s="7" t="n"/>
      <c r="J16" s="7">
        <f>IF(F16="","",F16*I16)</f>
        <v/>
      </c>
      <c r="K16" s="7">
        <f>IF(G16="","",G16*Settings!$B$5/1000*Settings!$B$6)</f>
        <v/>
      </c>
      <c r="L16" s="9" t="n"/>
      <c r="M16" s="7">
        <f>IF(J16="","",J16*L16)</f>
        <v/>
      </c>
      <c r="N16" s="7">
        <f>IF(J16="","",J16-K16-M16-Settings!$B$9)</f>
        <v/>
      </c>
      <c r="O16" s="7">
        <f>IF(OR(H16="",H16=0),"",N16/H16)</f>
        <v/>
      </c>
      <c r="Q16" s="11" t="n"/>
    </row>
    <row r="17">
      <c r="A17" s="11" t="n"/>
      <c r="I17" s="7" t="n"/>
      <c r="J17" s="7">
        <f>IF(F17="","",F17*I17)</f>
        <v/>
      </c>
      <c r="K17" s="7">
        <f>IF(G17="","",G17*Settings!$B$5/1000*Settings!$B$6)</f>
        <v/>
      </c>
      <c r="L17" s="9" t="n"/>
      <c r="M17" s="7">
        <f>IF(J17="","",J17*L17)</f>
        <v/>
      </c>
      <c r="N17" s="7">
        <f>IF(J17="","",J17-K17-M17-Settings!$B$9)</f>
        <v/>
      </c>
      <c r="O17" s="7">
        <f>IF(OR(H17="",H17=0),"",N17/H17)</f>
        <v/>
      </c>
      <c r="Q17" s="11" t="n"/>
    </row>
    <row r="18">
      <c r="A18" s="11" t="n"/>
      <c r="I18" s="7" t="n"/>
      <c r="J18" s="7">
        <f>IF(F18="","",F18*I18)</f>
        <v/>
      </c>
      <c r="K18" s="7">
        <f>IF(G18="","",G18*Settings!$B$5/1000*Settings!$B$6)</f>
        <v/>
      </c>
      <c r="L18" s="9" t="n"/>
      <c r="M18" s="7">
        <f>IF(J18="","",J18*L18)</f>
        <v/>
      </c>
      <c r="N18" s="7">
        <f>IF(J18="","",J18-K18-M18-Settings!$B$9)</f>
        <v/>
      </c>
      <c r="O18" s="7">
        <f>IF(OR(H18="",H18=0),"",N18/H18)</f>
        <v/>
      </c>
      <c r="Q18" s="11" t="n"/>
    </row>
    <row r="19">
      <c r="A19" s="11" t="n"/>
      <c r="I19" s="7" t="n"/>
      <c r="J19" s="7">
        <f>IF(F19="","",F19*I19)</f>
        <v/>
      </c>
      <c r="K19" s="7">
        <f>IF(G19="","",G19*Settings!$B$5/1000*Settings!$B$6)</f>
        <v/>
      </c>
      <c r="L19" s="9" t="n"/>
      <c r="M19" s="7">
        <f>IF(J19="","",J19*L19)</f>
        <v/>
      </c>
      <c r="N19" s="7">
        <f>IF(J19="","",J19-K19-M19-Settings!$B$9)</f>
        <v/>
      </c>
      <c r="O19" s="7">
        <f>IF(OR(H19="",H19=0),"",N19/H19)</f>
        <v/>
      </c>
      <c r="Q19" s="11" t="n"/>
    </row>
    <row r="20">
      <c r="A20" s="11" t="n"/>
      <c r="I20" s="7" t="n"/>
      <c r="J20" s="7">
        <f>IF(F20="","",F20*I20)</f>
        <v/>
      </c>
      <c r="K20" s="7">
        <f>IF(G20="","",G20*Settings!$B$5/1000*Settings!$B$6)</f>
        <v/>
      </c>
      <c r="L20" s="9" t="n"/>
      <c r="M20" s="7">
        <f>IF(J20="","",J20*L20)</f>
        <v/>
      </c>
      <c r="N20" s="7">
        <f>IF(J20="","",J20-K20-M20-Settings!$B$9)</f>
        <v/>
      </c>
      <c r="O20" s="7">
        <f>IF(OR(H20="",H20=0),"",N20/H20)</f>
        <v/>
      </c>
      <c r="Q20" s="11" t="n"/>
    </row>
    <row r="21">
      <c r="A21" s="11" t="n"/>
      <c r="I21" s="7" t="n"/>
      <c r="J21" s="7">
        <f>IF(F21="","",F21*I21)</f>
        <v/>
      </c>
      <c r="K21" s="7">
        <f>IF(G21="","",G21*Settings!$B$5/1000*Settings!$B$6)</f>
        <v/>
      </c>
      <c r="L21" s="9" t="n"/>
      <c r="M21" s="7">
        <f>IF(J21="","",J21*L21)</f>
        <v/>
      </c>
      <c r="N21" s="7">
        <f>IF(J21="","",J21-K21-M21-Settings!$B$9)</f>
        <v/>
      </c>
      <c r="O21" s="7">
        <f>IF(OR(H21="",H21=0),"",N21/H21)</f>
        <v/>
      </c>
      <c r="Q21" s="11" t="n"/>
    </row>
    <row r="22">
      <c r="A22" s="11" t="n"/>
      <c r="I22" s="7" t="n"/>
      <c r="J22" s="7">
        <f>IF(F22="","",F22*I22)</f>
        <v/>
      </c>
      <c r="K22" s="7">
        <f>IF(G22="","",G22*Settings!$B$5/1000*Settings!$B$6)</f>
        <v/>
      </c>
      <c r="L22" s="9" t="n"/>
      <c r="M22" s="7">
        <f>IF(J22="","",J22*L22)</f>
        <v/>
      </c>
      <c r="N22" s="7">
        <f>IF(J22="","",J22-K22-M22-Settings!$B$9)</f>
        <v/>
      </c>
      <c r="O22" s="7">
        <f>IF(OR(H22="",H22=0),"",N22/H22)</f>
        <v/>
      </c>
      <c r="Q22" s="11" t="n"/>
    </row>
    <row r="23">
      <c r="A23" s="11" t="n"/>
      <c r="I23" s="7" t="n"/>
      <c r="J23" s="7">
        <f>IF(F23="","",F23*I23)</f>
        <v/>
      </c>
      <c r="K23" s="7">
        <f>IF(G23="","",G23*Settings!$B$5/1000*Settings!$B$6)</f>
        <v/>
      </c>
      <c r="L23" s="9" t="n"/>
      <c r="M23" s="7">
        <f>IF(J23="","",J23*L23)</f>
        <v/>
      </c>
      <c r="N23" s="7">
        <f>IF(J23="","",J23-K23-M23-Settings!$B$9)</f>
        <v/>
      </c>
      <c r="O23" s="7">
        <f>IF(OR(H23="",H23=0),"",N23/H23)</f>
        <v/>
      </c>
      <c r="Q23" s="11" t="n"/>
    </row>
    <row r="24">
      <c r="A24" s="11" t="n"/>
      <c r="I24" s="7" t="n"/>
      <c r="J24" s="7">
        <f>IF(F24="","",F24*I24)</f>
        <v/>
      </c>
      <c r="K24" s="7">
        <f>IF(G24="","",G24*Settings!$B$5/1000*Settings!$B$6)</f>
        <v/>
      </c>
      <c r="L24" s="9" t="n"/>
      <c r="M24" s="7">
        <f>IF(J24="","",J24*L24)</f>
        <v/>
      </c>
      <c r="N24" s="7">
        <f>IF(J24="","",J24-K24-M24-Settings!$B$9)</f>
        <v/>
      </c>
      <c r="O24" s="7">
        <f>IF(OR(H24="",H24=0),"",N24/H24)</f>
        <v/>
      </c>
      <c r="Q24" s="11" t="n"/>
    </row>
    <row r="25">
      <c r="A25" s="11" t="n"/>
      <c r="I25" s="7" t="n"/>
      <c r="J25" s="7">
        <f>IF(F25="","",F25*I25)</f>
        <v/>
      </c>
      <c r="K25" s="7">
        <f>IF(G25="","",G25*Settings!$B$5/1000*Settings!$B$6)</f>
        <v/>
      </c>
      <c r="L25" s="9" t="n"/>
      <c r="M25" s="7">
        <f>IF(J25="","",J25*L25)</f>
        <v/>
      </c>
      <c r="N25" s="7">
        <f>IF(J25="","",J25-K25-M25-Settings!$B$9)</f>
        <v/>
      </c>
      <c r="O25" s="7">
        <f>IF(OR(H25="",H25=0),"",N25/H25)</f>
        <v/>
      </c>
      <c r="Q25" s="11" t="n"/>
    </row>
    <row r="26">
      <c r="A26" s="11" t="n"/>
      <c r="I26" s="7" t="n"/>
      <c r="J26" s="7">
        <f>IF(F26="","",F26*I26)</f>
        <v/>
      </c>
      <c r="K26" s="7">
        <f>IF(G26="","",G26*Settings!$B$5/1000*Settings!$B$6)</f>
        <v/>
      </c>
      <c r="L26" s="9" t="n"/>
      <c r="M26" s="7">
        <f>IF(J26="","",J26*L26)</f>
        <v/>
      </c>
      <c r="N26" s="7">
        <f>IF(J26="","",J26-K26-M26-Settings!$B$9)</f>
        <v/>
      </c>
      <c r="O26" s="7">
        <f>IF(OR(H26="",H26=0),"",N26/H26)</f>
        <v/>
      </c>
      <c r="Q26" s="11" t="n"/>
    </row>
    <row r="27">
      <c r="A27" s="11" t="n"/>
      <c r="I27" s="7" t="n"/>
      <c r="J27" s="7">
        <f>IF(F27="","",F27*I27)</f>
        <v/>
      </c>
      <c r="K27" s="7">
        <f>IF(G27="","",G27*Settings!$B$5/1000*Settings!$B$6)</f>
        <v/>
      </c>
      <c r="L27" s="9" t="n"/>
      <c r="M27" s="7">
        <f>IF(J27="","",J27*L27)</f>
        <v/>
      </c>
      <c r="N27" s="7">
        <f>IF(J27="","",J27-K27-M27-Settings!$B$9)</f>
        <v/>
      </c>
      <c r="O27" s="7">
        <f>IF(OR(H27="",H27=0),"",N27/H27)</f>
        <v/>
      </c>
      <c r="Q27" s="11" t="n"/>
    </row>
    <row r="28">
      <c r="A28" s="11" t="n"/>
      <c r="I28" s="7" t="n"/>
      <c r="J28" s="7">
        <f>IF(F28="","",F28*I28)</f>
        <v/>
      </c>
      <c r="K28" s="7">
        <f>IF(G28="","",G28*Settings!$B$5/1000*Settings!$B$6)</f>
        <v/>
      </c>
      <c r="L28" s="9" t="n"/>
      <c r="M28" s="7">
        <f>IF(J28="","",J28*L28)</f>
        <v/>
      </c>
      <c r="N28" s="7">
        <f>IF(J28="","",J28-K28-M28-Settings!$B$9)</f>
        <v/>
      </c>
      <c r="O28" s="7">
        <f>IF(OR(H28="",H28=0),"",N28/H28)</f>
        <v/>
      </c>
      <c r="Q28" s="11" t="n"/>
    </row>
    <row r="29">
      <c r="A29" s="11" t="n"/>
      <c r="I29" s="7" t="n"/>
      <c r="J29" s="7">
        <f>IF(F29="","",F29*I29)</f>
        <v/>
      </c>
      <c r="K29" s="7">
        <f>IF(G29="","",G29*Settings!$B$5/1000*Settings!$B$6)</f>
        <v/>
      </c>
      <c r="L29" s="9" t="n"/>
      <c r="M29" s="7">
        <f>IF(J29="","",J29*L29)</f>
        <v/>
      </c>
      <c r="N29" s="7">
        <f>IF(J29="","",J29-K29-M29-Settings!$B$9)</f>
        <v/>
      </c>
      <c r="O29" s="7">
        <f>IF(OR(H29="",H29=0),"",N29/H29)</f>
        <v/>
      </c>
      <c r="Q29" s="11" t="n"/>
    </row>
    <row r="30">
      <c r="A30" s="11" t="n"/>
      <c r="I30" s="7" t="n"/>
      <c r="J30" s="7">
        <f>IF(F30="","",F30*I30)</f>
        <v/>
      </c>
      <c r="K30" s="7">
        <f>IF(G30="","",G30*Settings!$B$5/1000*Settings!$B$6)</f>
        <v/>
      </c>
      <c r="L30" s="9" t="n"/>
      <c r="M30" s="7">
        <f>IF(J30="","",J30*L30)</f>
        <v/>
      </c>
      <c r="N30" s="7">
        <f>IF(J30="","",J30-K30-M30-Settings!$B$9)</f>
        <v/>
      </c>
      <c r="O30" s="7">
        <f>IF(OR(H30="",H30=0),"",N30/H30)</f>
        <v/>
      </c>
      <c r="Q30" s="11" t="n"/>
    </row>
    <row r="31">
      <c r="A31" s="11" t="n"/>
      <c r="I31" s="7" t="n"/>
      <c r="J31" s="7">
        <f>IF(F31="","",F31*I31)</f>
        <v/>
      </c>
      <c r="K31" s="7">
        <f>IF(G31="","",G31*Settings!$B$5/1000*Settings!$B$6)</f>
        <v/>
      </c>
      <c r="L31" s="9" t="n"/>
      <c r="M31" s="7">
        <f>IF(J31="","",J31*L31)</f>
        <v/>
      </c>
      <c r="N31" s="7">
        <f>IF(J31="","",J31-K31-M31-Settings!$B$9)</f>
        <v/>
      </c>
      <c r="O31" s="7">
        <f>IF(OR(H31="",H31=0),"",N31/H31)</f>
        <v/>
      </c>
      <c r="Q31" s="11" t="n"/>
    </row>
    <row r="32">
      <c r="A32" s="11" t="n"/>
      <c r="I32" s="7" t="n"/>
      <c r="J32" s="7">
        <f>IF(F32="","",F32*I32)</f>
        <v/>
      </c>
      <c r="K32" s="7">
        <f>IF(G32="","",G32*Settings!$B$5/1000*Settings!$B$6)</f>
        <v/>
      </c>
      <c r="L32" s="9" t="n"/>
      <c r="M32" s="7">
        <f>IF(J32="","",J32*L32)</f>
        <v/>
      </c>
      <c r="N32" s="7">
        <f>IF(J32="","",J32-K32-M32-Settings!$B$9)</f>
        <v/>
      </c>
      <c r="O32" s="7">
        <f>IF(OR(H32="",H32=0),"",N32/H32)</f>
        <v/>
      </c>
      <c r="Q32" s="11" t="n"/>
    </row>
    <row r="33">
      <c r="A33" s="11" t="n"/>
      <c r="I33" s="7" t="n"/>
      <c r="J33" s="7">
        <f>IF(F33="","",F33*I33)</f>
        <v/>
      </c>
      <c r="K33" s="7">
        <f>IF(G33="","",G33*Settings!$B$5/1000*Settings!$B$6)</f>
        <v/>
      </c>
      <c r="L33" s="9" t="n"/>
      <c r="M33" s="7">
        <f>IF(J33="","",J33*L33)</f>
        <v/>
      </c>
      <c r="N33" s="7">
        <f>IF(J33="","",J33-K33-M33-Settings!$B$9)</f>
        <v/>
      </c>
      <c r="O33" s="7">
        <f>IF(OR(H33="",H33=0),"",N33/H33)</f>
        <v/>
      </c>
      <c r="Q33" s="11" t="n"/>
    </row>
    <row r="34">
      <c r="A34" s="11" t="n"/>
      <c r="I34" s="7" t="n"/>
      <c r="J34" s="7">
        <f>IF(F34="","",F34*I34)</f>
        <v/>
      </c>
      <c r="K34" s="7">
        <f>IF(G34="","",G34*Settings!$B$5/1000*Settings!$B$6)</f>
        <v/>
      </c>
      <c r="L34" s="9" t="n"/>
      <c r="M34" s="7">
        <f>IF(J34="","",J34*L34)</f>
        <v/>
      </c>
      <c r="N34" s="7">
        <f>IF(J34="","",J34-K34-M34-Settings!$B$9)</f>
        <v/>
      </c>
      <c r="O34" s="7">
        <f>IF(OR(H34="",H34=0),"",N34/H34)</f>
        <v/>
      </c>
      <c r="Q34" s="11" t="n"/>
    </row>
    <row r="35">
      <c r="A35" s="11" t="n"/>
      <c r="I35" s="7" t="n"/>
      <c r="J35" s="7">
        <f>IF(F35="","",F35*I35)</f>
        <v/>
      </c>
      <c r="K35" s="7">
        <f>IF(G35="","",G35*Settings!$B$5/1000*Settings!$B$6)</f>
        <v/>
      </c>
      <c r="L35" s="9" t="n"/>
      <c r="M35" s="7">
        <f>IF(J35="","",J35*L35)</f>
        <v/>
      </c>
      <c r="N35" s="7">
        <f>IF(J35="","",J35-K35-M35-Settings!$B$9)</f>
        <v/>
      </c>
      <c r="O35" s="7">
        <f>IF(OR(H35="",H35=0),"",N35/H35)</f>
        <v/>
      </c>
      <c r="Q35" s="11" t="n"/>
    </row>
    <row r="36">
      <c r="A36" s="11" t="n"/>
      <c r="I36" s="7" t="n"/>
      <c r="J36" s="7">
        <f>IF(F36="","",F36*I36)</f>
        <v/>
      </c>
      <c r="K36" s="7">
        <f>IF(G36="","",G36*Settings!$B$5/1000*Settings!$B$6)</f>
        <v/>
      </c>
      <c r="L36" s="9" t="n"/>
      <c r="M36" s="7">
        <f>IF(J36="","",J36*L36)</f>
        <v/>
      </c>
      <c r="N36" s="7">
        <f>IF(J36="","",J36-K36-M36-Settings!$B$9)</f>
        <v/>
      </c>
      <c r="O36" s="7">
        <f>IF(OR(H36="",H36=0),"",N36/H36)</f>
        <v/>
      </c>
      <c r="Q36" s="11" t="n"/>
    </row>
    <row r="37">
      <c r="A37" s="11" t="n"/>
      <c r="I37" s="7" t="n"/>
      <c r="J37" s="7">
        <f>IF(F37="","",F37*I37)</f>
        <v/>
      </c>
      <c r="K37" s="7">
        <f>IF(G37="","",G37*Settings!$B$5/1000*Settings!$B$6)</f>
        <v/>
      </c>
      <c r="L37" s="9" t="n"/>
      <c r="M37" s="7">
        <f>IF(J37="","",J37*L37)</f>
        <v/>
      </c>
      <c r="N37" s="7">
        <f>IF(J37="","",J37-K37-M37-Settings!$B$9)</f>
        <v/>
      </c>
      <c r="O37" s="7">
        <f>IF(OR(H37="",H37=0),"",N37/H37)</f>
        <v/>
      </c>
      <c r="Q37" s="11" t="n"/>
    </row>
    <row r="38">
      <c r="A38" s="11" t="n"/>
      <c r="I38" s="7" t="n"/>
      <c r="J38" s="7">
        <f>IF(F38="","",F38*I38)</f>
        <v/>
      </c>
      <c r="K38" s="7">
        <f>IF(G38="","",G38*Settings!$B$5/1000*Settings!$B$6)</f>
        <v/>
      </c>
      <c r="L38" s="9" t="n"/>
      <c r="M38" s="7">
        <f>IF(J38="","",J38*L38)</f>
        <v/>
      </c>
      <c r="N38" s="7">
        <f>IF(J38="","",J38-K38-M38-Settings!$B$9)</f>
        <v/>
      </c>
      <c r="O38" s="7">
        <f>IF(OR(H38="",H38=0),"",N38/H38)</f>
        <v/>
      </c>
      <c r="Q38" s="11" t="n"/>
    </row>
    <row r="39">
      <c r="A39" s="11" t="n"/>
      <c r="I39" s="7" t="n"/>
      <c r="J39" s="7">
        <f>IF(F39="","",F39*I39)</f>
        <v/>
      </c>
      <c r="K39" s="7">
        <f>IF(G39="","",G39*Settings!$B$5/1000*Settings!$B$6)</f>
        <v/>
      </c>
      <c r="L39" s="9" t="n"/>
      <c r="M39" s="7">
        <f>IF(J39="","",J39*L39)</f>
        <v/>
      </c>
      <c r="N39" s="7">
        <f>IF(J39="","",J39-K39-M39-Settings!$B$9)</f>
        <v/>
      </c>
      <c r="O39" s="7">
        <f>IF(OR(H39="",H39=0),"",N39/H39)</f>
        <v/>
      </c>
      <c r="Q39" s="11" t="n"/>
    </row>
    <row r="40">
      <c r="A40" s="11" t="n"/>
      <c r="I40" s="7" t="n"/>
      <c r="J40" s="7">
        <f>IF(F40="","",F40*I40)</f>
        <v/>
      </c>
      <c r="K40" s="7">
        <f>IF(G40="","",G40*Settings!$B$5/1000*Settings!$B$6)</f>
        <v/>
      </c>
      <c r="L40" s="9" t="n"/>
      <c r="M40" s="7">
        <f>IF(J40="","",J40*L40)</f>
        <v/>
      </c>
      <c r="N40" s="7">
        <f>IF(J40="","",J40-K40-M40-Settings!$B$9)</f>
        <v/>
      </c>
      <c r="O40" s="7">
        <f>IF(OR(H40="",H40=0),"",N40/H40)</f>
        <v/>
      </c>
      <c r="Q40" s="11" t="n"/>
    </row>
    <row r="41">
      <c r="A41" s="11" t="n"/>
      <c r="I41" s="7" t="n"/>
      <c r="J41" s="7">
        <f>IF(F41="","",F41*I41)</f>
        <v/>
      </c>
      <c r="K41" s="7">
        <f>IF(G41="","",G41*Settings!$B$5/1000*Settings!$B$6)</f>
        <v/>
      </c>
      <c r="L41" s="9" t="n"/>
      <c r="M41" s="7">
        <f>IF(J41="","",J41*L41)</f>
        <v/>
      </c>
      <c r="N41" s="7">
        <f>IF(J41="","",J41-K41-M41-Settings!$B$9)</f>
        <v/>
      </c>
      <c r="O41" s="7">
        <f>IF(OR(H41="",H41=0),"",N41/H41)</f>
        <v/>
      </c>
      <c r="Q41" s="11" t="n"/>
    </row>
    <row r="42">
      <c r="A42" s="11" t="n"/>
      <c r="I42" s="7" t="n"/>
      <c r="J42" s="7">
        <f>IF(F42="","",F42*I42)</f>
        <v/>
      </c>
      <c r="K42" s="7">
        <f>IF(G42="","",G42*Settings!$B$5/1000*Settings!$B$6)</f>
        <v/>
      </c>
      <c r="L42" s="9" t="n"/>
      <c r="M42" s="7">
        <f>IF(J42="","",J42*L42)</f>
        <v/>
      </c>
      <c r="N42" s="7">
        <f>IF(J42="","",J42-K42-M42-Settings!$B$9)</f>
        <v/>
      </c>
      <c r="O42" s="7">
        <f>IF(OR(H42="",H42=0),"",N42/H42)</f>
        <v/>
      </c>
      <c r="Q42" s="11" t="n"/>
    </row>
    <row r="43">
      <c r="A43" s="11" t="n"/>
      <c r="I43" s="7" t="n"/>
      <c r="J43" s="7">
        <f>IF(F43="","",F43*I43)</f>
        <v/>
      </c>
      <c r="K43" s="7">
        <f>IF(G43="","",G43*Settings!$B$5/1000*Settings!$B$6)</f>
        <v/>
      </c>
      <c r="L43" s="9" t="n"/>
      <c r="M43" s="7">
        <f>IF(J43="","",J43*L43)</f>
        <v/>
      </c>
      <c r="N43" s="7">
        <f>IF(J43="","",J43-K43-M43-Settings!$B$9)</f>
        <v/>
      </c>
      <c r="O43" s="7">
        <f>IF(OR(H43="",H43=0),"",N43/H43)</f>
        <v/>
      </c>
      <c r="Q43" s="11" t="n"/>
    </row>
    <row r="44">
      <c r="A44" s="11" t="n"/>
      <c r="I44" s="7" t="n"/>
      <c r="J44" s="7">
        <f>IF(F44="","",F44*I44)</f>
        <v/>
      </c>
      <c r="K44" s="7">
        <f>IF(G44="","",G44*Settings!$B$5/1000*Settings!$B$6)</f>
        <v/>
      </c>
      <c r="L44" s="9" t="n"/>
      <c r="M44" s="7">
        <f>IF(J44="","",J44*L44)</f>
        <v/>
      </c>
      <c r="N44" s="7">
        <f>IF(J44="","",J44-K44-M44-Settings!$B$9)</f>
        <v/>
      </c>
      <c r="O44" s="7">
        <f>IF(OR(H44="",H44=0),"",N44/H44)</f>
        <v/>
      </c>
      <c r="Q44" s="11" t="n"/>
    </row>
    <row r="45">
      <c r="A45" s="11" t="n"/>
      <c r="I45" s="7" t="n"/>
      <c r="J45" s="7">
        <f>IF(F45="","",F45*I45)</f>
        <v/>
      </c>
      <c r="K45" s="7">
        <f>IF(G45="","",G45*Settings!$B$5/1000*Settings!$B$6)</f>
        <v/>
      </c>
      <c r="L45" s="9" t="n"/>
      <c r="M45" s="7">
        <f>IF(J45="","",J45*L45)</f>
        <v/>
      </c>
      <c r="N45" s="7">
        <f>IF(J45="","",J45-K45-M45-Settings!$B$9)</f>
        <v/>
      </c>
      <c r="O45" s="7">
        <f>IF(OR(H45="",H45=0),"",N45/H45)</f>
        <v/>
      </c>
      <c r="Q45" s="11" t="n"/>
    </row>
    <row r="46">
      <c r="A46" s="11" t="n"/>
      <c r="I46" s="7" t="n"/>
      <c r="J46" s="7">
        <f>IF(F46="","",F46*I46)</f>
        <v/>
      </c>
      <c r="K46" s="7">
        <f>IF(G46="","",G46*Settings!$B$5/1000*Settings!$B$6)</f>
        <v/>
      </c>
      <c r="L46" s="9" t="n"/>
      <c r="M46" s="7">
        <f>IF(J46="","",J46*L46)</f>
        <v/>
      </c>
      <c r="N46" s="7">
        <f>IF(J46="","",J46-K46-M46-Settings!$B$9)</f>
        <v/>
      </c>
      <c r="O46" s="7">
        <f>IF(OR(H46="",H46=0),"",N46/H46)</f>
        <v/>
      </c>
      <c r="Q46" s="11" t="n"/>
    </row>
    <row r="47">
      <c r="A47" s="11" t="n"/>
      <c r="I47" s="7" t="n"/>
      <c r="J47" s="7">
        <f>IF(F47="","",F47*I47)</f>
        <v/>
      </c>
      <c r="K47" s="7">
        <f>IF(G47="","",G47*Settings!$B$5/1000*Settings!$B$6)</f>
        <v/>
      </c>
      <c r="L47" s="9" t="n"/>
      <c r="M47" s="7">
        <f>IF(J47="","",J47*L47)</f>
        <v/>
      </c>
      <c r="N47" s="7">
        <f>IF(J47="","",J47-K47-M47-Settings!$B$9)</f>
        <v/>
      </c>
      <c r="O47" s="7">
        <f>IF(OR(H47="",H47=0),"",N47/H47)</f>
        <v/>
      </c>
      <c r="Q47" s="11" t="n"/>
    </row>
    <row r="48">
      <c r="A48" s="11" t="n"/>
      <c r="I48" s="7" t="n"/>
      <c r="J48" s="7">
        <f>IF(F48="","",F48*I48)</f>
        <v/>
      </c>
      <c r="K48" s="7">
        <f>IF(G48="","",G48*Settings!$B$5/1000*Settings!$B$6)</f>
        <v/>
      </c>
      <c r="L48" s="9" t="n"/>
      <c r="M48" s="7">
        <f>IF(J48="","",J48*L48)</f>
        <v/>
      </c>
      <c r="N48" s="7">
        <f>IF(J48="","",J48-K48-M48-Settings!$B$9)</f>
        <v/>
      </c>
      <c r="O48" s="7">
        <f>IF(OR(H48="",H48=0),"",N48/H48)</f>
        <v/>
      </c>
      <c r="Q48" s="11" t="n"/>
    </row>
    <row r="49">
      <c r="A49" s="11" t="n"/>
      <c r="I49" s="7" t="n"/>
      <c r="J49" s="7">
        <f>IF(F49="","",F49*I49)</f>
        <v/>
      </c>
      <c r="K49" s="7">
        <f>IF(G49="","",G49*Settings!$B$5/1000*Settings!$B$6)</f>
        <v/>
      </c>
      <c r="L49" s="9" t="n"/>
      <c r="M49" s="7">
        <f>IF(J49="","",J49*L49)</f>
        <v/>
      </c>
      <c r="N49" s="7">
        <f>IF(J49="","",J49-K49-M49-Settings!$B$9)</f>
        <v/>
      </c>
      <c r="O49" s="7">
        <f>IF(OR(H49="",H49=0),"",N49/H49)</f>
        <v/>
      </c>
      <c r="Q49" s="11" t="n"/>
    </row>
    <row r="50">
      <c r="A50" s="11" t="n"/>
      <c r="I50" s="7" t="n"/>
      <c r="J50" s="7">
        <f>IF(F50="","",F50*I50)</f>
        <v/>
      </c>
      <c r="K50" s="7">
        <f>IF(G50="","",G50*Settings!$B$5/1000*Settings!$B$6)</f>
        <v/>
      </c>
      <c r="L50" s="9" t="n"/>
      <c r="M50" s="7">
        <f>IF(J50="","",J50*L50)</f>
        <v/>
      </c>
      <c r="N50" s="7">
        <f>IF(J50="","",J50-K50-M50-Settings!$B$9)</f>
        <v/>
      </c>
      <c r="O50" s="7">
        <f>IF(OR(H50="",H50=0),"",N50/H50)</f>
        <v/>
      </c>
      <c r="Q50" s="11" t="n"/>
    </row>
    <row r="51">
      <c r="A51" s="11" t="n"/>
      <c r="I51" s="7" t="n"/>
      <c r="J51" s="7">
        <f>IF(F51="","",F51*I51)</f>
        <v/>
      </c>
      <c r="K51" s="7">
        <f>IF(G51="","",G51*Settings!$B$5/1000*Settings!$B$6)</f>
        <v/>
      </c>
      <c r="L51" s="9" t="n"/>
      <c r="M51" s="7">
        <f>IF(J51="","",J51*L51)</f>
        <v/>
      </c>
      <c r="N51" s="7">
        <f>IF(J51="","",J51-K51-M51-Settings!$B$9)</f>
        <v/>
      </c>
      <c r="O51" s="7">
        <f>IF(OR(H51="",H51=0),"",N51/H51)</f>
        <v/>
      </c>
      <c r="Q51" s="11" t="n"/>
    </row>
    <row r="52">
      <c r="A52" s="11" t="n"/>
      <c r="I52" s="7" t="n"/>
      <c r="J52" s="7">
        <f>IF(F52="","",F52*I52)</f>
        <v/>
      </c>
      <c r="K52" s="7">
        <f>IF(G52="","",G52*Settings!$B$5/1000*Settings!$B$6)</f>
        <v/>
      </c>
      <c r="L52" s="9" t="n"/>
      <c r="M52" s="7">
        <f>IF(J52="","",J52*L52)</f>
        <v/>
      </c>
      <c r="N52" s="7">
        <f>IF(J52="","",J52-K52-M52-Settings!$B$9)</f>
        <v/>
      </c>
      <c r="O52" s="7">
        <f>IF(OR(H52="",H52=0),"",N52/H52)</f>
        <v/>
      </c>
      <c r="Q52" s="11" t="n"/>
    </row>
    <row r="53">
      <c r="A53" s="11" t="n"/>
      <c r="I53" s="7" t="n"/>
      <c r="J53" s="7">
        <f>IF(F53="","",F53*I53)</f>
        <v/>
      </c>
      <c r="K53" s="7">
        <f>IF(G53="","",G53*Settings!$B$5/1000*Settings!$B$6)</f>
        <v/>
      </c>
      <c r="L53" s="9" t="n"/>
      <c r="M53" s="7">
        <f>IF(J53="","",J53*L53)</f>
        <v/>
      </c>
      <c r="N53" s="7">
        <f>IF(J53="","",J53-K53-M53-Settings!$B$9)</f>
        <v/>
      </c>
      <c r="O53" s="7">
        <f>IF(OR(H53="",H53=0),"",N53/H53)</f>
        <v/>
      </c>
      <c r="Q53" s="11" t="n"/>
    </row>
    <row r="54">
      <c r="A54" s="11" t="n"/>
      <c r="I54" s="7" t="n"/>
      <c r="J54" s="7">
        <f>IF(F54="","",F54*I54)</f>
        <v/>
      </c>
      <c r="K54" s="7">
        <f>IF(G54="","",G54*Settings!$B$5/1000*Settings!$B$6)</f>
        <v/>
      </c>
      <c r="L54" s="9" t="n"/>
      <c r="M54" s="7">
        <f>IF(J54="","",J54*L54)</f>
        <v/>
      </c>
      <c r="N54" s="7">
        <f>IF(J54="","",J54-K54-M54-Settings!$B$9)</f>
        <v/>
      </c>
      <c r="O54" s="7">
        <f>IF(OR(H54="",H54=0),"",N54/H54)</f>
        <v/>
      </c>
      <c r="Q54" s="11" t="n"/>
    </row>
    <row r="55">
      <c r="A55" s="11" t="n"/>
      <c r="I55" s="7" t="n"/>
      <c r="J55" s="7">
        <f>IF(F55="","",F55*I55)</f>
        <v/>
      </c>
      <c r="K55" s="7">
        <f>IF(G55="","",G55*Settings!$B$5/1000*Settings!$B$6)</f>
        <v/>
      </c>
      <c r="L55" s="9" t="n"/>
      <c r="M55" s="7">
        <f>IF(J55="","",J55*L55)</f>
        <v/>
      </c>
      <c r="N55" s="7">
        <f>IF(J55="","",J55-K55-M55-Settings!$B$9)</f>
        <v/>
      </c>
      <c r="O55" s="7">
        <f>IF(OR(H55="",H55=0),"",N55/H55)</f>
        <v/>
      </c>
      <c r="Q55" s="11" t="n"/>
    </row>
    <row r="56">
      <c r="A56" s="11" t="n"/>
      <c r="I56" s="7" t="n"/>
      <c r="J56" s="7">
        <f>IF(F56="","",F56*I56)</f>
        <v/>
      </c>
      <c r="K56" s="7">
        <f>IF(G56="","",G56*Settings!$B$5/1000*Settings!$B$6)</f>
        <v/>
      </c>
      <c r="L56" s="9" t="n"/>
      <c r="M56" s="7">
        <f>IF(J56="","",J56*L56)</f>
        <v/>
      </c>
      <c r="N56" s="7">
        <f>IF(J56="","",J56-K56-M56-Settings!$B$9)</f>
        <v/>
      </c>
      <c r="O56" s="7">
        <f>IF(OR(H56="",H56=0),"",N56/H56)</f>
        <v/>
      </c>
      <c r="Q56" s="11" t="n"/>
    </row>
    <row r="57">
      <c r="A57" s="11" t="n"/>
      <c r="I57" s="7" t="n"/>
      <c r="J57" s="7">
        <f>IF(F57="","",F57*I57)</f>
        <v/>
      </c>
      <c r="K57" s="7">
        <f>IF(G57="","",G57*Settings!$B$5/1000*Settings!$B$6)</f>
        <v/>
      </c>
      <c r="L57" s="9" t="n"/>
      <c r="M57" s="7">
        <f>IF(J57="","",J57*L57)</f>
        <v/>
      </c>
      <c r="N57" s="7">
        <f>IF(J57="","",J57-K57-M57-Settings!$B$9)</f>
        <v/>
      </c>
      <c r="O57" s="7">
        <f>IF(OR(H57="",H57=0),"",N57/H57)</f>
        <v/>
      </c>
      <c r="Q57" s="11" t="n"/>
    </row>
    <row r="58">
      <c r="A58" s="11" t="n"/>
      <c r="I58" s="7" t="n"/>
      <c r="J58" s="7">
        <f>IF(F58="","",F58*I58)</f>
        <v/>
      </c>
      <c r="K58" s="7">
        <f>IF(G58="","",G58*Settings!$B$5/1000*Settings!$B$6)</f>
        <v/>
      </c>
      <c r="L58" s="9" t="n"/>
      <c r="M58" s="7">
        <f>IF(J58="","",J58*L58)</f>
        <v/>
      </c>
      <c r="N58" s="7">
        <f>IF(J58="","",J58-K58-M58-Settings!$B$9)</f>
        <v/>
      </c>
      <c r="O58" s="7">
        <f>IF(OR(H58="",H58=0),"",N58/H58)</f>
        <v/>
      </c>
      <c r="Q58" s="11" t="n"/>
    </row>
    <row r="59">
      <c r="A59" s="11" t="n"/>
      <c r="I59" s="7" t="n"/>
      <c r="J59" s="7">
        <f>IF(F59="","",F59*I59)</f>
        <v/>
      </c>
      <c r="K59" s="7">
        <f>IF(G59="","",G59*Settings!$B$5/1000*Settings!$B$6)</f>
        <v/>
      </c>
      <c r="L59" s="9" t="n"/>
      <c r="M59" s="7">
        <f>IF(J59="","",J59*L59)</f>
        <v/>
      </c>
      <c r="N59" s="7">
        <f>IF(J59="","",J59-K59-M59-Settings!$B$9)</f>
        <v/>
      </c>
      <c r="O59" s="7">
        <f>IF(OR(H59="",H59=0),"",N59/H59)</f>
        <v/>
      </c>
      <c r="Q59" s="11" t="n"/>
    </row>
    <row r="60">
      <c r="A60" s="11" t="n"/>
      <c r="I60" s="7" t="n"/>
      <c r="J60" s="7">
        <f>IF(F60="","",F60*I60)</f>
        <v/>
      </c>
      <c r="K60" s="7">
        <f>IF(G60="","",G60*Settings!$B$5/1000*Settings!$B$6)</f>
        <v/>
      </c>
      <c r="L60" s="9" t="n"/>
      <c r="M60" s="7">
        <f>IF(J60="","",J60*L60)</f>
        <v/>
      </c>
      <c r="N60" s="7">
        <f>IF(J60="","",J60-K60-M60-Settings!$B$9)</f>
        <v/>
      </c>
      <c r="O60" s="7">
        <f>IF(OR(H60="",H60=0),"",N60/H60)</f>
        <v/>
      </c>
      <c r="Q60" s="11" t="n"/>
    </row>
    <row r="61">
      <c r="A61" s="11" t="n"/>
      <c r="I61" s="7" t="n"/>
      <c r="J61" s="7">
        <f>IF(F61="","",F61*I61)</f>
        <v/>
      </c>
      <c r="K61" s="7">
        <f>IF(G61="","",G61*Settings!$B$5/1000*Settings!$B$6)</f>
        <v/>
      </c>
      <c r="L61" s="9" t="n"/>
      <c r="M61" s="7">
        <f>IF(J61="","",J61*L61)</f>
        <v/>
      </c>
      <c r="N61" s="7">
        <f>IF(J61="","",J61-K61-M61-Settings!$B$9)</f>
        <v/>
      </c>
      <c r="O61" s="7">
        <f>IF(OR(H61="",H61=0),"",N61/H61)</f>
        <v/>
      </c>
      <c r="Q61" s="11" t="n"/>
    </row>
    <row r="62">
      <c r="A62" s="11" t="n"/>
      <c r="I62" s="7" t="n"/>
      <c r="J62" s="7">
        <f>IF(F62="","",F62*I62)</f>
        <v/>
      </c>
      <c r="K62" s="7">
        <f>IF(G62="","",G62*Settings!$B$5/1000*Settings!$B$6)</f>
        <v/>
      </c>
      <c r="L62" s="9" t="n"/>
      <c r="M62" s="7">
        <f>IF(J62="","",J62*L62)</f>
        <v/>
      </c>
      <c r="N62" s="7">
        <f>IF(J62="","",J62-K62-M62-Settings!$B$9)</f>
        <v/>
      </c>
      <c r="O62" s="7">
        <f>IF(OR(H62="",H62=0),"",N62/H62)</f>
        <v/>
      </c>
      <c r="Q62" s="11" t="n"/>
    </row>
    <row r="63">
      <c r="A63" s="11" t="n"/>
      <c r="I63" s="7" t="n"/>
      <c r="J63" s="7">
        <f>IF(F63="","",F63*I63)</f>
        <v/>
      </c>
      <c r="K63" s="7">
        <f>IF(G63="","",G63*Settings!$B$5/1000*Settings!$B$6)</f>
        <v/>
      </c>
      <c r="L63" s="9" t="n"/>
      <c r="M63" s="7">
        <f>IF(J63="","",J63*L63)</f>
        <v/>
      </c>
      <c r="N63" s="7">
        <f>IF(J63="","",J63-K63-M63-Settings!$B$9)</f>
        <v/>
      </c>
      <c r="O63" s="7">
        <f>IF(OR(H63="",H63=0),"",N63/H63)</f>
        <v/>
      </c>
      <c r="Q63" s="11" t="n"/>
    </row>
    <row r="64">
      <c r="A64" s="11" t="n"/>
      <c r="I64" s="7" t="n"/>
      <c r="J64" s="7">
        <f>IF(F64="","",F64*I64)</f>
        <v/>
      </c>
      <c r="K64" s="7">
        <f>IF(G64="","",G64*Settings!$B$5/1000*Settings!$B$6)</f>
        <v/>
      </c>
      <c r="L64" s="9" t="n"/>
      <c r="M64" s="7">
        <f>IF(J64="","",J64*L64)</f>
        <v/>
      </c>
      <c r="N64" s="7">
        <f>IF(J64="","",J64-K64-M64-Settings!$B$9)</f>
        <v/>
      </c>
      <c r="O64" s="7">
        <f>IF(OR(H64="",H64=0),"",N64/H64)</f>
        <v/>
      </c>
      <c r="Q64" s="11" t="n"/>
    </row>
    <row r="65">
      <c r="A65" s="11" t="n"/>
      <c r="I65" s="7" t="n"/>
      <c r="J65" s="7">
        <f>IF(F65="","",F65*I65)</f>
        <v/>
      </c>
      <c r="K65" s="7">
        <f>IF(G65="","",G65*Settings!$B$5/1000*Settings!$B$6)</f>
        <v/>
      </c>
      <c r="L65" s="9" t="n"/>
      <c r="M65" s="7">
        <f>IF(J65="","",J65*L65)</f>
        <v/>
      </c>
      <c r="N65" s="7">
        <f>IF(J65="","",J65-K65-M65-Settings!$B$9)</f>
        <v/>
      </c>
      <c r="O65" s="7">
        <f>IF(OR(H65="",H65=0),"",N65/H65)</f>
        <v/>
      </c>
      <c r="Q65" s="11" t="n"/>
    </row>
    <row r="66">
      <c r="A66" s="11" t="n"/>
      <c r="I66" s="7" t="n"/>
      <c r="J66" s="7">
        <f>IF(F66="","",F66*I66)</f>
        <v/>
      </c>
      <c r="K66" s="7">
        <f>IF(G66="","",G66*Settings!$B$5/1000*Settings!$B$6)</f>
        <v/>
      </c>
      <c r="L66" s="9" t="n"/>
      <c r="M66" s="7">
        <f>IF(J66="","",J66*L66)</f>
        <v/>
      </c>
      <c r="N66" s="7">
        <f>IF(J66="","",J66-K66-M66-Settings!$B$9)</f>
        <v/>
      </c>
      <c r="O66" s="7">
        <f>IF(OR(H66="",H66=0),"",N66/H66)</f>
        <v/>
      </c>
      <c r="Q66" s="11" t="n"/>
    </row>
    <row r="67">
      <c r="A67" s="11" t="n"/>
      <c r="I67" s="7" t="n"/>
      <c r="J67" s="7">
        <f>IF(F67="","",F67*I67)</f>
        <v/>
      </c>
      <c r="K67" s="7">
        <f>IF(G67="","",G67*Settings!$B$5/1000*Settings!$B$6)</f>
        <v/>
      </c>
      <c r="L67" s="9" t="n"/>
      <c r="M67" s="7">
        <f>IF(J67="","",J67*L67)</f>
        <v/>
      </c>
      <c r="N67" s="7">
        <f>IF(J67="","",J67-K67-M67-Settings!$B$9)</f>
        <v/>
      </c>
      <c r="O67" s="7">
        <f>IF(OR(H67="",H67=0),"",N67/H67)</f>
        <v/>
      </c>
      <c r="Q67" s="11" t="n"/>
    </row>
    <row r="68">
      <c r="A68" s="11" t="n"/>
      <c r="I68" s="7" t="n"/>
      <c r="J68" s="7">
        <f>IF(F68="","",F68*I68)</f>
        <v/>
      </c>
      <c r="K68" s="7">
        <f>IF(G68="","",G68*Settings!$B$5/1000*Settings!$B$6)</f>
        <v/>
      </c>
      <c r="L68" s="9" t="n"/>
      <c r="M68" s="7">
        <f>IF(J68="","",J68*L68)</f>
        <v/>
      </c>
      <c r="N68" s="7">
        <f>IF(J68="","",J68-K68-M68-Settings!$B$9)</f>
        <v/>
      </c>
      <c r="O68" s="7">
        <f>IF(OR(H68="",H68=0),"",N68/H68)</f>
        <v/>
      </c>
      <c r="Q68" s="11" t="n"/>
    </row>
    <row r="69">
      <c r="A69" s="11" t="n"/>
      <c r="I69" s="7" t="n"/>
      <c r="J69" s="7">
        <f>IF(F69="","",F69*I69)</f>
        <v/>
      </c>
      <c r="K69" s="7">
        <f>IF(G69="","",G69*Settings!$B$5/1000*Settings!$B$6)</f>
        <v/>
      </c>
      <c r="L69" s="9" t="n"/>
      <c r="M69" s="7">
        <f>IF(J69="","",J69*L69)</f>
        <v/>
      </c>
      <c r="N69" s="7">
        <f>IF(J69="","",J69-K69-M69-Settings!$B$9)</f>
        <v/>
      </c>
      <c r="O69" s="7">
        <f>IF(OR(H69="",H69=0),"",N69/H69)</f>
        <v/>
      </c>
      <c r="Q69" s="11" t="n"/>
    </row>
    <row r="70">
      <c r="A70" s="11" t="n"/>
      <c r="I70" s="7" t="n"/>
      <c r="J70" s="7">
        <f>IF(F70="","",F70*I70)</f>
        <v/>
      </c>
      <c r="K70" s="7">
        <f>IF(G70="","",G70*Settings!$B$5/1000*Settings!$B$6)</f>
        <v/>
      </c>
      <c r="L70" s="9" t="n"/>
      <c r="M70" s="7">
        <f>IF(J70="","",J70*L70)</f>
        <v/>
      </c>
      <c r="N70" s="7">
        <f>IF(J70="","",J70-K70-M70-Settings!$B$9)</f>
        <v/>
      </c>
      <c r="O70" s="7">
        <f>IF(OR(H70="",H70=0),"",N70/H70)</f>
        <v/>
      </c>
      <c r="Q70" s="11" t="n"/>
    </row>
    <row r="71">
      <c r="A71" s="11" t="n"/>
      <c r="I71" s="7" t="n"/>
      <c r="J71" s="7">
        <f>IF(F71="","",F71*I71)</f>
        <v/>
      </c>
      <c r="K71" s="7">
        <f>IF(G71="","",G71*Settings!$B$5/1000*Settings!$B$6)</f>
        <v/>
      </c>
      <c r="L71" s="9" t="n"/>
      <c r="M71" s="7">
        <f>IF(J71="","",J71*L71)</f>
        <v/>
      </c>
      <c r="N71" s="7">
        <f>IF(J71="","",J71-K71-M71-Settings!$B$9)</f>
        <v/>
      </c>
      <c r="O71" s="7">
        <f>IF(OR(H71="",H71=0),"",N71/H71)</f>
        <v/>
      </c>
      <c r="Q71" s="11" t="n"/>
    </row>
    <row r="72">
      <c r="A72" s="11" t="n"/>
      <c r="I72" s="7" t="n"/>
      <c r="J72" s="7">
        <f>IF(F72="","",F72*I72)</f>
        <v/>
      </c>
      <c r="K72" s="7">
        <f>IF(G72="","",G72*Settings!$B$5/1000*Settings!$B$6)</f>
        <v/>
      </c>
      <c r="L72" s="9" t="n"/>
      <c r="M72" s="7">
        <f>IF(J72="","",J72*L72)</f>
        <v/>
      </c>
      <c r="N72" s="7">
        <f>IF(J72="","",J72-K72-M72-Settings!$B$9)</f>
        <v/>
      </c>
      <c r="O72" s="7">
        <f>IF(OR(H72="",H72=0),"",N72/H72)</f>
        <v/>
      </c>
      <c r="Q72" s="11" t="n"/>
    </row>
    <row r="73">
      <c r="A73" s="11" t="n"/>
      <c r="I73" s="7" t="n"/>
      <c r="J73" s="7">
        <f>IF(F73="","",F73*I73)</f>
        <v/>
      </c>
      <c r="K73" s="7">
        <f>IF(G73="","",G73*Settings!$B$5/1000*Settings!$B$6)</f>
        <v/>
      </c>
      <c r="L73" s="9" t="n"/>
      <c r="M73" s="7">
        <f>IF(J73="","",J73*L73)</f>
        <v/>
      </c>
      <c r="N73" s="7">
        <f>IF(J73="","",J73-K73-M73-Settings!$B$9)</f>
        <v/>
      </c>
      <c r="O73" s="7">
        <f>IF(OR(H73="",H73=0),"",N73/H73)</f>
        <v/>
      </c>
      <c r="Q73" s="11" t="n"/>
    </row>
    <row r="74">
      <c r="A74" s="11" t="n"/>
      <c r="I74" s="7" t="n"/>
      <c r="J74" s="7">
        <f>IF(F74="","",F74*I74)</f>
        <v/>
      </c>
      <c r="K74" s="7">
        <f>IF(G74="","",G74*Settings!$B$5/1000*Settings!$B$6)</f>
        <v/>
      </c>
      <c r="L74" s="9" t="n"/>
      <c r="M74" s="7">
        <f>IF(J74="","",J74*L74)</f>
        <v/>
      </c>
      <c r="N74" s="7">
        <f>IF(J74="","",J74-K74-M74-Settings!$B$9)</f>
        <v/>
      </c>
      <c r="O74" s="7">
        <f>IF(OR(H74="",H74=0),"",N74/H74)</f>
        <v/>
      </c>
      <c r="Q74" s="11" t="n"/>
    </row>
    <row r="75">
      <c r="A75" s="11" t="n"/>
      <c r="I75" s="7" t="n"/>
      <c r="J75" s="7">
        <f>IF(F75="","",F75*I75)</f>
        <v/>
      </c>
      <c r="K75" s="7">
        <f>IF(G75="","",G75*Settings!$B$5/1000*Settings!$B$6)</f>
        <v/>
      </c>
      <c r="L75" s="9" t="n"/>
      <c r="M75" s="7">
        <f>IF(J75="","",J75*L75)</f>
        <v/>
      </c>
      <c r="N75" s="7">
        <f>IF(J75="","",J75-K75-M75-Settings!$B$9)</f>
        <v/>
      </c>
      <c r="O75" s="7">
        <f>IF(OR(H75="",H75=0),"",N75/H75)</f>
        <v/>
      </c>
      <c r="Q75" s="11" t="n"/>
    </row>
    <row r="76">
      <c r="A76" s="11" t="n"/>
      <c r="I76" s="7" t="n"/>
      <c r="J76" s="7">
        <f>IF(F76="","",F76*I76)</f>
        <v/>
      </c>
      <c r="K76" s="7">
        <f>IF(G76="","",G76*Settings!$B$5/1000*Settings!$B$6)</f>
        <v/>
      </c>
      <c r="L76" s="9" t="n"/>
      <c r="M76" s="7">
        <f>IF(J76="","",J76*L76)</f>
        <v/>
      </c>
      <c r="N76" s="7">
        <f>IF(J76="","",J76-K76-M76-Settings!$B$9)</f>
        <v/>
      </c>
      <c r="O76" s="7">
        <f>IF(OR(H76="",H76=0),"",N76/H76)</f>
        <v/>
      </c>
      <c r="Q76" s="11" t="n"/>
    </row>
    <row r="77">
      <c r="A77" s="11" t="n"/>
      <c r="I77" s="7" t="n"/>
      <c r="J77" s="7">
        <f>IF(F77="","",F77*I77)</f>
        <v/>
      </c>
      <c r="K77" s="7">
        <f>IF(G77="","",G77*Settings!$B$5/1000*Settings!$B$6)</f>
        <v/>
      </c>
      <c r="L77" s="9" t="n"/>
      <c r="M77" s="7">
        <f>IF(J77="","",J77*L77)</f>
        <v/>
      </c>
      <c r="N77" s="7">
        <f>IF(J77="","",J77-K77-M77-Settings!$B$9)</f>
        <v/>
      </c>
      <c r="O77" s="7">
        <f>IF(OR(H77="",H77=0),"",N77/H77)</f>
        <v/>
      </c>
      <c r="Q77" s="11" t="n"/>
    </row>
    <row r="78">
      <c r="A78" s="11" t="n"/>
      <c r="I78" s="7" t="n"/>
      <c r="J78" s="7">
        <f>IF(F78="","",F78*I78)</f>
        <v/>
      </c>
      <c r="K78" s="7">
        <f>IF(G78="","",G78*Settings!$B$5/1000*Settings!$B$6)</f>
        <v/>
      </c>
      <c r="L78" s="9" t="n"/>
      <c r="M78" s="7">
        <f>IF(J78="","",J78*L78)</f>
        <v/>
      </c>
      <c r="N78" s="7">
        <f>IF(J78="","",J78-K78-M78-Settings!$B$9)</f>
        <v/>
      </c>
      <c r="O78" s="7">
        <f>IF(OR(H78="",H78=0),"",N78/H78)</f>
        <v/>
      </c>
      <c r="Q78" s="11" t="n"/>
    </row>
    <row r="79">
      <c r="A79" s="11" t="n"/>
      <c r="I79" s="7" t="n"/>
      <c r="J79" s="7">
        <f>IF(F79="","",F79*I79)</f>
        <v/>
      </c>
      <c r="K79" s="7">
        <f>IF(G79="","",G79*Settings!$B$5/1000*Settings!$B$6)</f>
        <v/>
      </c>
      <c r="L79" s="9" t="n"/>
      <c r="M79" s="7">
        <f>IF(J79="","",J79*L79)</f>
        <v/>
      </c>
      <c r="N79" s="7">
        <f>IF(J79="","",J79-K79-M79-Settings!$B$9)</f>
        <v/>
      </c>
      <c r="O79" s="7">
        <f>IF(OR(H79="",H79=0),"",N79/H79)</f>
        <v/>
      </c>
      <c r="Q79" s="11" t="n"/>
    </row>
    <row r="80">
      <c r="A80" s="11" t="n"/>
      <c r="I80" s="7" t="n"/>
      <c r="J80" s="7">
        <f>IF(F80="","",F80*I80)</f>
        <v/>
      </c>
      <c r="K80" s="7">
        <f>IF(G80="","",G80*Settings!$B$5/1000*Settings!$B$6)</f>
        <v/>
      </c>
      <c r="L80" s="9" t="n"/>
      <c r="M80" s="7">
        <f>IF(J80="","",J80*L80)</f>
        <v/>
      </c>
      <c r="N80" s="7">
        <f>IF(J80="","",J80-K80-M80-Settings!$B$9)</f>
        <v/>
      </c>
      <c r="O80" s="7">
        <f>IF(OR(H80="",H80=0),"",N80/H80)</f>
        <v/>
      </c>
      <c r="Q80" s="11" t="n"/>
    </row>
    <row r="81">
      <c r="A81" s="11" t="n"/>
      <c r="I81" s="7" t="n"/>
      <c r="J81" s="7">
        <f>IF(F81="","",F81*I81)</f>
        <v/>
      </c>
      <c r="K81" s="7">
        <f>IF(G81="","",G81*Settings!$B$5/1000*Settings!$B$6)</f>
        <v/>
      </c>
      <c r="L81" s="9" t="n"/>
      <c r="M81" s="7">
        <f>IF(J81="","",J81*L81)</f>
        <v/>
      </c>
      <c r="N81" s="7">
        <f>IF(J81="","",J81-K81-M81-Settings!$B$9)</f>
        <v/>
      </c>
      <c r="O81" s="7">
        <f>IF(OR(H81="",H81=0),"",N81/H81)</f>
        <v/>
      </c>
      <c r="Q81" s="11" t="n"/>
    </row>
    <row r="82">
      <c r="A82" s="11" t="n"/>
      <c r="I82" s="7" t="n"/>
      <c r="J82" s="7">
        <f>IF(F82="","",F82*I82)</f>
        <v/>
      </c>
      <c r="K82" s="7">
        <f>IF(G82="","",G82*Settings!$B$5/1000*Settings!$B$6)</f>
        <v/>
      </c>
      <c r="L82" s="9" t="n"/>
      <c r="M82" s="7">
        <f>IF(J82="","",J82*L82)</f>
        <v/>
      </c>
      <c r="N82" s="7">
        <f>IF(J82="","",J82-K82-M82-Settings!$B$9)</f>
        <v/>
      </c>
      <c r="O82" s="7">
        <f>IF(OR(H82="",H82=0),"",N82/H82)</f>
        <v/>
      </c>
      <c r="Q82" s="11" t="n"/>
    </row>
    <row r="83">
      <c r="A83" s="11" t="n"/>
      <c r="I83" s="7" t="n"/>
      <c r="J83" s="7">
        <f>IF(F83="","",F83*I83)</f>
        <v/>
      </c>
      <c r="K83" s="7">
        <f>IF(G83="","",G83*Settings!$B$5/1000*Settings!$B$6)</f>
        <v/>
      </c>
      <c r="L83" s="9" t="n"/>
      <c r="M83" s="7">
        <f>IF(J83="","",J83*L83)</f>
        <v/>
      </c>
      <c r="N83" s="7">
        <f>IF(J83="","",J83-K83-M83-Settings!$B$9)</f>
        <v/>
      </c>
      <c r="O83" s="7">
        <f>IF(OR(H83="",H83=0),"",N83/H83)</f>
        <v/>
      </c>
      <c r="Q83" s="11" t="n"/>
    </row>
    <row r="84">
      <c r="A84" s="11" t="n"/>
      <c r="I84" s="7" t="n"/>
      <c r="J84" s="7">
        <f>IF(F84="","",F84*I84)</f>
        <v/>
      </c>
      <c r="K84" s="7">
        <f>IF(G84="","",G84*Settings!$B$5/1000*Settings!$B$6)</f>
        <v/>
      </c>
      <c r="L84" s="9" t="n"/>
      <c r="M84" s="7">
        <f>IF(J84="","",J84*L84)</f>
        <v/>
      </c>
      <c r="N84" s="7">
        <f>IF(J84="","",J84-K84-M84-Settings!$B$9)</f>
        <v/>
      </c>
      <c r="O84" s="7">
        <f>IF(OR(H84="",H84=0),"",N84/H84)</f>
        <v/>
      </c>
      <c r="Q84" s="11" t="n"/>
    </row>
    <row r="85">
      <c r="A85" s="11" t="n"/>
      <c r="I85" s="7" t="n"/>
      <c r="J85" s="7">
        <f>IF(F85="","",F85*I85)</f>
        <v/>
      </c>
      <c r="K85" s="7">
        <f>IF(G85="","",G85*Settings!$B$5/1000*Settings!$B$6)</f>
        <v/>
      </c>
      <c r="L85" s="9" t="n"/>
      <c r="M85" s="7">
        <f>IF(J85="","",J85*L85)</f>
        <v/>
      </c>
      <c r="N85" s="7">
        <f>IF(J85="","",J85-K85-M85-Settings!$B$9)</f>
        <v/>
      </c>
      <c r="O85" s="7">
        <f>IF(OR(H85="",H85=0),"",N85/H85)</f>
        <v/>
      </c>
      <c r="Q85" s="11" t="n"/>
    </row>
    <row r="86">
      <c r="A86" s="11" t="n"/>
      <c r="I86" s="7" t="n"/>
      <c r="J86" s="7">
        <f>IF(F86="","",F86*I86)</f>
        <v/>
      </c>
      <c r="K86" s="7">
        <f>IF(G86="","",G86*Settings!$B$5/1000*Settings!$B$6)</f>
        <v/>
      </c>
      <c r="L86" s="9" t="n"/>
      <c r="M86" s="7">
        <f>IF(J86="","",J86*L86)</f>
        <v/>
      </c>
      <c r="N86" s="7">
        <f>IF(J86="","",J86-K86-M86-Settings!$B$9)</f>
        <v/>
      </c>
      <c r="O86" s="7">
        <f>IF(OR(H86="",H86=0),"",N86/H86)</f>
        <v/>
      </c>
      <c r="Q86" s="11" t="n"/>
    </row>
    <row r="87">
      <c r="A87" s="11" t="n"/>
      <c r="I87" s="7" t="n"/>
      <c r="J87" s="7">
        <f>IF(F87="","",F87*I87)</f>
        <v/>
      </c>
      <c r="K87" s="7">
        <f>IF(G87="","",G87*Settings!$B$5/1000*Settings!$B$6)</f>
        <v/>
      </c>
      <c r="L87" s="9" t="n"/>
      <c r="M87" s="7">
        <f>IF(J87="","",J87*L87)</f>
        <v/>
      </c>
      <c r="N87" s="7">
        <f>IF(J87="","",J87-K87-M87-Settings!$B$9)</f>
        <v/>
      </c>
      <c r="O87" s="7">
        <f>IF(OR(H87="",H87=0),"",N87/H87)</f>
        <v/>
      </c>
      <c r="Q87" s="11" t="n"/>
    </row>
    <row r="88">
      <c r="A88" s="11" t="n"/>
      <c r="I88" s="7" t="n"/>
      <c r="J88" s="7">
        <f>IF(F88="","",F88*I88)</f>
        <v/>
      </c>
      <c r="K88" s="7">
        <f>IF(G88="","",G88*Settings!$B$5/1000*Settings!$B$6)</f>
        <v/>
      </c>
      <c r="L88" s="9" t="n"/>
      <c r="M88" s="7">
        <f>IF(J88="","",J88*L88)</f>
        <v/>
      </c>
      <c r="N88" s="7">
        <f>IF(J88="","",J88-K88-M88-Settings!$B$9)</f>
        <v/>
      </c>
      <c r="O88" s="7">
        <f>IF(OR(H88="",H88=0),"",N88/H88)</f>
        <v/>
      </c>
      <c r="Q88" s="11" t="n"/>
    </row>
    <row r="89">
      <c r="A89" s="11" t="n"/>
      <c r="I89" s="7" t="n"/>
      <c r="J89" s="7">
        <f>IF(F89="","",F89*I89)</f>
        <v/>
      </c>
      <c r="K89" s="7">
        <f>IF(G89="","",G89*Settings!$B$5/1000*Settings!$B$6)</f>
        <v/>
      </c>
      <c r="L89" s="9" t="n"/>
      <c r="M89" s="7">
        <f>IF(J89="","",J89*L89)</f>
        <v/>
      </c>
      <c r="N89" s="7">
        <f>IF(J89="","",J89-K89-M89-Settings!$B$9)</f>
        <v/>
      </c>
      <c r="O89" s="7">
        <f>IF(OR(H89="",H89=0),"",N89/H89)</f>
        <v/>
      </c>
      <c r="Q89" s="11" t="n"/>
    </row>
    <row r="90">
      <c r="A90" s="11" t="n"/>
      <c r="I90" s="7" t="n"/>
      <c r="J90" s="7">
        <f>IF(F90="","",F90*I90)</f>
        <v/>
      </c>
      <c r="K90" s="7">
        <f>IF(G90="","",G90*Settings!$B$5/1000*Settings!$B$6)</f>
        <v/>
      </c>
      <c r="L90" s="9" t="n"/>
      <c r="M90" s="7">
        <f>IF(J90="","",J90*L90)</f>
        <v/>
      </c>
      <c r="N90" s="7">
        <f>IF(J90="","",J90-K90-M90-Settings!$B$9)</f>
        <v/>
      </c>
      <c r="O90" s="7">
        <f>IF(OR(H90="",H90=0),"",N90/H90)</f>
        <v/>
      </c>
      <c r="Q90" s="11" t="n"/>
    </row>
    <row r="91">
      <c r="A91" s="11" t="n"/>
      <c r="I91" s="7" t="n"/>
      <c r="J91" s="7">
        <f>IF(F91="","",F91*I91)</f>
        <v/>
      </c>
      <c r="K91" s="7">
        <f>IF(G91="","",G91*Settings!$B$5/1000*Settings!$B$6)</f>
        <v/>
      </c>
      <c r="L91" s="9" t="n"/>
      <c r="M91" s="7">
        <f>IF(J91="","",J91*L91)</f>
        <v/>
      </c>
      <c r="N91" s="7">
        <f>IF(J91="","",J91-K91-M91-Settings!$B$9)</f>
        <v/>
      </c>
      <c r="O91" s="7">
        <f>IF(OR(H91="",H91=0),"",N91/H91)</f>
        <v/>
      </c>
      <c r="Q91" s="11" t="n"/>
    </row>
    <row r="92">
      <c r="A92" s="11" t="n"/>
      <c r="I92" s="7" t="n"/>
      <c r="J92" s="7">
        <f>IF(F92="","",F92*I92)</f>
        <v/>
      </c>
      <c r="K92" s="7">
        <f>IF(G92="","",G92*Settings!$B$5/1000*Settings!$B$6)</f>
        <v/>
      </c>
      <c r="L92" s="9" t="n"/>
      <c r="M92" s="7">
        <f>IF(J92="","",J92*L92)</f>
        <v/>
      </c>
      <c r="N92" s="7">
        <f>IF(J92="","",J92-K92-M92-Settings!$B$9)</f>
        <v/>
      </c>
      <c r="O92" s="7">
        <f>IF(OR(H92="",H92=0),"",N92/H92)</f>
        <v/>
      </c>
      <c r="Q92" s="11" t="n"/>
    </row>
    <row r="93">
      <c r="A93" s="11" t="n"/>
      <c r="I93" s="7" t="n"/>
      <c r="J93" s="7">
        <f>IF(F93="","",F93*I93)</f>
        <v/>
      </c>
      <c r="K93" s="7">
        <f>IF(G93="","",G93*Settings!$B$5/1000*Settings!$B$6)</f>
        <v/>
      </c>
      <c r="L93" s="9" t="n"/>
      <c r="M93" s="7">
        <f>IF(J93="","",J93*L93)</f>
        <v/>
      </c>
      <c r="N93" s="7">
        <f>IF(J93="","",J93-K93-M93-Settings!$B$9)</f>
        <v/>
      </c>
      <c r="O93" s="7">
        <f>IF(OR(H93="",H93=0),"",N93/H93)</f>
        <v/>
      </c>
      <c r="Q93" s="11" t="n"/>
    </row>
    <row r="94">
      <c r="A94" s="11" t="n"/>
      <c r="I94" s="7" t="n"/>
      <c r="J94" s="7">
        <f>IF(F94="","",F94*I94)</f>
        <v/>
      </c>
      <c r="K94" s="7">
        <f>IF(G94="","",G94*Settings!$B$5/1000*Settings!$B$6)</f>
        <v/>
      </c>
      <c r="L94" s="9" t="n"/>
      <c r="M94" s="7">
        <f>IF(J94="","",J94*L94)</f>
        <v/>
      </c>
      <c r="N94" s="7">
        <f>IF(J94="","",J94-K94-M94-Settings!$B$9)</f>
        <v/>
      </c>
      <c r="O94" s="7">
        <f>IF(OR(H94="",H94=0),"",N94/H94)</f>
        <v/>
      </c>
      <c r="Q94" s="11" t="n"/>
    </row>
    <row r="95">
      <c r="A95" s="11" t="n"/>
      <c r="I95" s="7" t="n"/>
      <c r="J95" s="7">
        <f>IF(F95="","",F95*I95)</f>
        <v/>
      </c>
      <c r="K95" s="7">
        <f>IF(G95="","",G95*Settings!$B$5/1000*Settings!$B$6)</f>
        <v/>
      </c>
      <c r="L95" s="9" t="n"/>
      <c r="M95" s="7">
        <f>IF(J95="","",J95*L95)</f>
        <v/>
      </c>
      <c r="N95" s="7">
        <f>IF(J95="","",J95-K95-M95-Settings!$B$9)</f>
        <v/>
      </c>
      <c r="O95" s="7">
        <f>IF(OR(H95="",H95=0),"",N95/H95)</f>
        <v/>
      </c>
      <c r="Q95" s="11" t="n"/>
    </row>
    <row r="96">
      <c r="A96" s="11" t="n"/>
      <c r="I96" s="7" t="n"/>
      <c r="J96" s="7">
        <f>IF(F96="","",F96*I96)</f>
        <v/>
      </c>
      <c r="K96" s="7">
        <f>IF(G96="","",G96*Settings!$B$5/1000*Settings!$B$6)</f>
        <v/>
      </c>
      <c r="L96" s="9" t="n"/>
      <c r="M96" s="7">
        <f>IF(J96="","",J96*L96)</f>
        <v/>
      </c>
      <c r="N96" s="7">
        <f>IF(J96="","",J96-K96-M96-Settings!$B$9)</f>
        <v/>
      </c>
      <c r="O96" s="7">
        <f>IF(OR(H96="",H96=0),"",N96/H96)</f>
        <v/>
      </c>
      <c r="Q96" s="11" t="n"/>
    </row>
    <row r="97">
      <c r="A97" s="11" t="n"/>
      <c r="I97" s="7" t="n"/>
      <c r="J97" s="7">
        <f>IF(F97="","",F97*I97)</f>
        <v/>
      </c>
      <c r="K97" s="7">
        <f>IF(G97="","",G97*Settings!$B$5/1000*Settings!$B$6)</f>
        <v/>
      </c>
      <c r="L97" s="9" t="n"/>
      <c r="M97" s="7">
        <f>IF(J97="","",J97*L97)</f>
        <v/>
      </c>
      <c r="N97" s="7">
        <f>IF(J97="","",J97-K97-M97-Settings!$B$9)</f>
        <v/>
      </c>
      <c r="O97" s="7">
        <f>IF(OR(H97="",H97=0),"",N97/H97)</f>
        <v/>
      </c>
      <c r="Q97" s="11" t="n"/>
    </row>
    <row r="98">
      <c r="A98" s="11" t="n"/>
      <c r="I98" s="7" t="n"/>
      <c r="J98" s="7">
        <f>IF(F98="","",F98*I98)</f>
        <v/>
      </c>
      <c r="K98" s="7">
        <f>IF(G98="","",G98*Settings!$B$5/1000*Settings!$B$6)</f>
        <v/>
      </c>
      <c r="L98" s="9" t="n"/>
      <c r="M98" s="7">
        <f>IF(J98="","",J98*L98)</f>
        <v/>
      </c>
      <c r="N98" s="7">
        <f>IF(J98="","",J98-K98-M98-Settings!$B$9)</f>
        <v/>
      </c>
      <c r="O98" s="7">
        <f>IF(OR(H98="",H98=0),"",N98/H98)</f>
        <v/>
      </c>
      <c r="Q98" s="11" t="n"/>
    </row>
    <row r="99">
      <c r="A99" s="11" t="n"/>
      <c r="I99" s="7" t="n"/>
      <c r="J99" s="7">
        <f>IF(F99="","",F99*I99)</f>
        <v/>
      </c>
      <c r="K99" s="7">
        <f>IF(G99="","",G99*Settings!$B$5/1000*Settings!$B$6)</f>
        <v/>
      </c>
      <c r="L99" s="9" t="n"/>
      <c r="M99" s="7">
        <f>IF(J99="","",J99*L99)</f>
        <v/>
      </c>
      <c r="N99" s="7">
        <f>IF(J99="","",J99-K99-M99-Settings!$B$9)</f>
        <v/>
      </c>
      <c r="O99" s="7">
        <f>IF(OR(H99="",H99=0),"",N99/H99)</f>
        <v/>
      </c>
      <c r="Q99" s="11" t="n"/>
    </row>
    <row r="100">
      <c r="A100" s="11" t="n"/>
      <c r="I100" s="7" t="n"/>
      <c r="J100" s="7">
        <f>IF(F100="","",F100*I100)</f>
        <v/>
      </c>
      <c r="K100" s="7">
        <f>IF(G100="","",G100*Settings!$B$5/1000*Settings!$B$6)</f>
        <v/>
      </c>
      <c r="L100" s="9" t="n"/>
      <c r="M100" s="7">
        <f>IF(J100="","",J100*L100)</f>
        <v/>
      </c>
      <c r="N100" s="7">
        <f>IF(J100="","",J100-K100-M100-Settings!$B$9)</f>
        <v/>
      </c>
      <c r="O100" s="7">
        <f>IF(OR(H100="",H100=0),"",N100/H100)</f>
        <v/>
      </c>
      <c r="Q100" s="11" t="n"/>
    </row>
    <row r="101">
      <c r="A101" s="11" t="n"/>
      <c r="I101" s="7" t="n"/>
      <c r="J101" s="7">
        <f>IF(F101="","",F101*I101)</f>
        <v/>
      </c>
      <c r="K101" s="7">
        <f>IF(G101="","",G101*Settings!$B$5/1000*Settings!$B$6)</f>
        <v/>
      </c>
      <c r="L101" s="9" t="n"/>
      <c r="M101" s="7">
        <f>IF(J101="","",J101*L101)</f>
        <v/>
      </c>
      <c r="N101" s="7">
        <f>IF(J101="","",J101-K101-M101-Settings!$B$9)</f>
        <v/>
      </c>
      <c r="O101" s="7">
        <f>IF(OR(H101="",H101=0),"",N101/H101)</f>
        <v/>
      </c>
      <c r="Q101" s="11" t="n"/>
    </row>
    <row r="102">
      <c r="A102" s="11" t="n"/>
      <c r="I102" s="7" t="n"/>
      <c r="J102" s="7">
        <f>IF(F102="","",F102*I102)</f>
        <v/>
      </c>
      <c r="K102" s="7">
        <f>IF(G102="","",G102*Settings!$B$5/1000*Settings!$B$6)</f>
        <v/>
      </c>
      <c r="L102" s="9" t="n"/>
      <c r="M102" s="7">
        <f>IF(J102="","",J102*L102)</f>
        <v/>
      </c>
      <c r="N102" s="7">
        <f>IF(J102="","",J102-K102-M102-Settings!$B$9)</f>
        <v/>
      </c>
      <c r="O102" s="7">
        <f>IF(OR(H102="",H102=0),"",N102/H102)</f>
        <v/>
      </c>
      <c r="Q102" s="11" t="n"/>
    </row>
    <row r="103">
      <c r="A103" s="11" t="n"/>
      <c r="I103" s="7" t="n"/>
      <c r="J103" s="7">
        <f>IF(F103="","",F103*I103)</f>
        <v/>
      </c>
      <c r="K103" s="7">
        <f>IF(G103="","",G103*Settings!$B$5/1000*Settings!$B$6)</f>
        <v/>
      </c>
      <c r="L103" s="9" t="n"/>
      <c r="M103" s="7">
        <f>IF(J103="","",J103*L103)</f>
        <v/>
      </c>
      <c r="N103" s="7">
        <f>IF(J103="","",J103-K103-M103-Settings!$B$9)</f>
        <v/>
      </c>
      <c r="O103" s="7">
        <f>IF(OR(H103="",H103=0),"",N103/H103)</f>
        <v/>
      </c>
      <c r="Q103" s="11" t="n"/>
    </row>
    <row r="104">
      <c r="A104" s="11" t="n"/>
      <c r="I104" s="7" t="n"/>
      <c r="J104" s="7">
        <f>IF(F104="","",F104*I104)</f>
        <v/>
      </c>
      <c r="K104" s="7">
        <f>IF(G104="","",G104*Settings!$B$5/1000*Settings!$B$6)</f>
        <v/>
      </c>
      <c r="L104" s="9" t="n"/>
      <c r="M104" s="7">
        <f>IF(J104="","",J104*L104)</f>
        <v/>
      </c>
      <c r="N104" s="7">
        <f>IF(J104="","",J104-K104-M104-Settings!$B$9)</f>
        <v/>
      </c>
      <c r="O104" s="7">
        <f>IF(OR(H104="",H104=0),"",N104/H104)</f>
        <v/>
      </c>
      <c r="Q104" s="11" t="n"/>
    </row>
    <row r="105">
      <c r="A105" s="11" t="n"/>
      <c r="I105" s="7" t="n"/>
      <c r="J105" s="7">
        <f>IF(F105="","",F105*I105)</f>
        <v/>
      </c>
      <c r="K105" s="7">
        <f>IF(G105="","",G105*Settings!$B$5/1000*Settings!$B$6)</f>
        <v/>
      </c>
      <c r="L105" s="9" t="n"/>
      <c r="M105" s="7">
        <f>IF(J105="","",J105*L105)</f>
        <v/>
      </c>
      <c r="N105" s="7">
        <f>IF(J105="","",J105-K105-M105-Settings!$B$9)</f>
        <v/>
      </c>
      <c r="O105" s="7">
        <f>IF(OR(H105="",H105=0),"",N105/H105)</f>
        <v/>
      </c>
      <c r="Q105" s="11" t="n"/>
    </row>
    <row r="106">
      <c r="A106" s="11" t="n"/>
      <c r="I106" s="7" t="n"/>
      <c r="J106" s="7">
        <f>IF(F106="","",F106*I106)</f>
        <v/>
      </c>
      <c r="K106" s="7">
        <f>IF(G106="","",G106*Settings!$B$5/1000*Settings!$B$6)</f>
        <v/>
      </c>
      <c r="L106" s="9" t="n"/>
      <c r="M106" s="7">
        <f>IF(J106="","",J106*L106)</f>
        <v/>
      </c>
      <c r="N106" s="7">
        <f>IF(J106="","",J106-K106-M106-Settings!$B$9)</f>
        <v/>
      </c>
      <c r="O106" s="7">
        <f>IF(OR(H106="",H106=0),"",N106/H106)</f>
        <v/>
      </c>
      <c r="Q106" s="11" t="n"/>
    </row>
    <row r="107">
      <c r="A107" s="11" t="n"/>
      <c r="I107" s="7" t="n"/>
      <c r="J107" s="7">
        <f>IF(F107="","",F107*I107)</f>
        <v/>
      </c>
      <c r="K107" s="7">
        <f>IF(G107="","",G107*Settings!$B$5/1000*Settings!$B$6)</f>
        <v/>
      </c>
      <c r="L107" s="9" t="n"/>
      <c r="M107" s="7">
        <f>IF(J107="","",J107*L107)</f>
        <v/>
      </c>
      <c r="N107" s="7">
        <f>IF(J107="","",J107-K107-M107-Settings!$B$9)</f>
        <v/>
      </c>
      <c r="O107" s="7">
        <f>IF(OR(H107="",H107=0),"",N107/H107)</f>
        <v/>
      </c>
      <c r="Q107" s="11" t="n"/>
    </row>
    <row r="108">
      <c r="A108" s="11" t="n"/>
      <c r="I108" s="7" t="n"/>
      <c r="J108" s="7">
        <f>IF(F108="","",F108*I108)</f>
        <v/>
      </c>
      <c r="K108" s="7">
        <f>IF(G108="","",G108*Settings!$B$5/1000*Settings!$B$6)</f>
        <v/>
      </c>
      <c r="L108" s="9" t="n"/>
      <c r="M108" s="7">
        <f>IF(J108="","",J108*L108)</f>
        <v/>
      </c>
      <c r="N108" s="7">
        <f>IF(J108="","",J108-K108-M108-Settings!$B$9)</f>
        <v/>
      </c>
      <c r="O108" s="7">
        <f>IF(OR(H108="",H108=0),"",N108/H108)</f>
        <v/>
      </c>
      <c r="Q108" s="11" t="n"/>
    </row>
    <row r="109">
      <c r="A109" s="11" t="n"/>
      <c r="I109" s="7" t="n"/>
      <c r="J109" s="7">
        <f>IF(F109="","",F109*I109)</f>
        <v/>
      </c>
      <c r="K109" s="7">
        <f>IF(G109="","",G109*Settings!$B$5/1000*Settings!$B$6)</f>
        <v/>
      </c>
      <c r="L109" s="9" t="n"/>
      <c r="M109" s="7">
        <f>IF(J109="","",J109*L109)</f>
        <v/>
      </c>
      <c r="N109" s="7">
        <f>IF(J109="","",J109-K109-M109-Settings!$B$9)</f>
        <v/>
      </c>
      <c r="O109" s="7">
        <f>IF(OR(H109="",H109=0),"",N109/H109)</f>
        <v/>
      </c>
      <c r="Q109" s="11" t="n"/>
    </row>
    <row r="110">
      <c r="A110" s="11" t="n"/>
      <c r="I110" s="7" t="n"/>
      <c r="J110" s="7">
        <f>IF(F110="","",F110*I110)</f>
        <v/>
      </c>
      <c r="K110" s="7">
        <f>IF(G110="","",G110*Settings!$B$5/1000*Settings!$B$6)</f>
        <v/>
      </c>
      <c r="L110" s="9" t="n"/>
      <c r="M110" s="7">
        <f>IF(J110="","",J110*L110)</f>
        <v/>
      </c>
      <c r="N110" s="7">
        <f>IF(J110="","",J110-K110-M110-Settings!$B$9)</f>
        <v/>
      </c>
      <c r="O110" s="7">
        <f>IF(OR(H110="",H110=0),"",N110/H110)</f>
        <v/>
      </c>
      <c r="Q110" s="11" t="n"/>
    </row>
    <row r="111">
      <c r="A111" s="11" t="n"/>
      <c r="I111" s="7" t="n"/>
      <c r="J111" s="7">
        <f>IF(F111="","",F111*I111)</f>
        <v/>
      </c>
      <c r="K111" s="7">
        <f>IF(G111="","",G111*Settings!$B$5/1000*Settings!$B$6)</f>
        <v/>
      </c>
      <c r="L111" s="9" t="n"/>
      <c r="M111" s="7">
        <f>IF(J111="","",J111*L111)</f>
        <v/>
      </c>
      <c r="N111" s="7">
        <f>IF(J111="","",J111-K111-M111-Settings!$B$9)</f>
        <v/>
      </c>
      <c r="O111" s="7">
        <f>IF(OR(H111="",H111=0),"",N111/H111)</f>
        <v/>
      </c>
      <c r="Q111" s="11" t="n"/>
    </row>
    <row r="112">
      <c r="A112" s="11" t="n"/>
      <c r="I112" s="7" t="n"/>
      <c r="J112" s="7">
        <f>IF(F112="","",F112*I112)</f>
        <v/>
      </c>
      <c r="K112" s="7">
        <f>IF(G112="","",G112*Settings!$B$5/1000*Settings!$B$6)</f>
        <v/>
      </c>
      <c r="L112" s="9" t="n"/>
      <c r="M112" s="7">
        <f>IF(J112="","",J112*L112)</f>
        <v/>
      </c>
      <c r="N112" s="7">
        <f>IF(J112="","",J112-K112-M112-Settings!$B$9)</f>
        <v/>
      </c>
      <c r="O112" s="7">
        <f>IF(OR(H112="",H112=0),"",N112/H112)</f>
        <v/>
      </c>
      <c r="Q112" s="11" t="n"/>
    </row>
    <row r="113">
      <c r="A113" s="11" t="n"/>
      <c r="I113" s="7" t="n"/>
      <c r="J113" s="7">
        <f>IF(F113="","",F113*I113)</f>
        <v/>
      </c>
      <c r="K113" s="7">
        <f>IF(G113="","",G113*Settings!$B$5/1000*Settings!$B$6)</f>
        <v/>
      </c>
      <c r="L113" s="9" t="n"/>
      <c r="M113" s="7">
        <f>IF(J113="","",J113*L113)</f>
        <v/>
      </c>
      <c r="N113" s="7">
        <f>IF(J113="","",J113-K113-M113-Settings!$B$9)</f>
        <v/>
      </c>
      <c r="O113" s="7">
        <f>IF(OR(H113="",H113=0),"",N113/H113)</f>
        <v/>
      </c>
      <c r="Q113" s="11" t="n"/>
    </row>
    <row r="114">
      <c r="A114" s="11" t="n"/>
      <c r="I114" s="7" t="n"/>
      <c r="J114" s="7">
        <f>IF(F114="","",F114*I114)</f>
        <v/>
      </c>
      <c r="K114" s="7">
        <f>IF(G114="","",G114*Settings!$B$5/1000*Settings!$B$6)</f>
        <v/>
      </c>
      <c r="L114" s="9" t="n"/>
      <c r="M114" s="7">
        <f>IF(J114="","",J114*L114)</f>
        <v/>
      </c>
      <c r="N114" s="7">
        <f>IF(J114="","",J114-K114-M114-Settings!$B$9)</f>
        <v/>
      </c>
      <c r="O114" s="7">
        <f>IF(OR(H114="",H114=0),"",N114/H114)</f>
        <v/>
      </c>
      <c r="Q114" s="11" t="n"/>
    </row>
    <row r="115">
      <c r="A115" s="11" t="n"/>
      <c r="I115" s="7" t="n"/>
      <c r="J115" s="7">
        <f>IF(F115="","",F115*I115)</f>
        <v/>
      </c>
      <c r="K115" s="7">
        <f>IF(G115="","",G115*Settings!$B$5/1000*Settings!$B$6)</f>
        <v/>
      </c>
      <c r="L115" s="9" t="n"/>
      <c r="M115" s="7">
        <f>IF(J115="","",J115*L115)</f>
        <v/>
      </c>
      <c r="N115" s="7">
        <f>IF(J115="","",J115-K115-M115-Settings!$B$9)</f>
        <v/>
      </c>
      <c r="O115" s="7">
        <f>IF(OR(H115="",H115=0),"",N115/H115)</f>
        <v/>
      </c>
      <c r="Q115" s="11" t="n"/>
    </row>
    <row r="116">
      <c r="A116" s="11" t="n"/>
      <c r="I116" s="7" t="n"/>
      <c r="J116" s="7">
        <f>IF(F116="","",F116*I116)</f>
        <v/>
      </c>
      <c r="K116" s="7">
        <f>IF(G116="","",G116*Settings!$B$5/1000*Settings!$B$6)</f>
        <v/>
      </c>
      <c r="L116" s="9" t="n"/>
      <c r="M116" s="7">
        <f>IF(J116="","",J116*L116)</f>
        <v/>
      </c>
      <c r="N116" s="7">
        <f>IF(J116="","",J116-K116-M116-Settings!$B$9)</f>
        <v/>
      </c>
      <c r="O116" s="7">
        <f>IF(OR(H116="",H116=0),"",N116/H116)</f>
        <v/>
      </c>
      <c r="Q116" s="11" t="n"/>
    </row>
    <row r="117">
      <c r="A117" s="11" t="n"/>
      <c r="I117" s="7" t="n"/>
      <c r="J117" s="7">
        <f>IF(F117="","",F117*I117)</f>
        <v/>
      </c>
      <c r="K117" s="7">
        <f>IF(G117="","",G117*Settings!$B$5/1000*Settings!$B$6)</f>
        <v/>
      </c>
      <c r="L117" s="9" t="n"/>
      <c r="M117" s="7">
        <f>IF(J117="","",J117*L117)</f>
        <v/>
      </c>
      <c r="N117" s="7">
        <f>IF(J117="","",J117-K117-M117-Settings!$B$9)</f>
        <v/>
      </c>
      <c r="O117" s="7">
        <f>IF(OR(H117="",H117=0),"",N117/H117)</f>
        <v/>
      </c>
      <c r="Q117" s="11" t="n"/>
    </row>
    <row r="118">
      <c r="A118" s="11" t="n"/>
      <c r="I118" s="7" t="n"/>
      <c r="J118" s="7">
        <f>IF(F118="","",F118*I118)</f>
        <v/>
      </c>
      <c r="K118" s="7">
        <f>IF(G118="","",G118*Settings!$B$5/1000*Settings!$B$6)</f>
        <v/>
      </c>
      <c r="L118" s="9" t="n"/>
      <c r="M118" s="7">
        <f>IF(J118="","",J118*L118)</f>
        <v/>
      </c>
      <c r="N118" s="7">
        <f>IF(J118="","",J118-K118-M118-Settings!$B$9)</f>
        <v/>
      </c>
      <c r="O118" s="7">
        <f>IF(OR(H118="",H118=0),"",N118/H118)</f>
        <v/>
      </c>
      <c r="Q118" s="11" t="n"/>
    </row>
    <row r="119">
      <c r="A119" s="11" t="n"/>
      <c r="I119" s="7" t="n"/>
      <c r="J119" s="7">
        <f>IF(F119="","",F119*I119)</f>
        <v/>
      </c>
      <c r="K119" s="7">
        <f>IF(G119="","",G119*Settings!$B$5/1000*Settings!$B$6)</f>
        <v/>
      </c>
      <c r="L119" s="9" t="n"/>
      <c r="M119" s="7">
        <f>IF(J119="","",J119*L119)</f>
        <v/>
      </c>
      <c r="N119" s="7">
        <f>IF(J119="","",J119-K119-M119-Settings!$B$9)</f>
        <v/>
      </c>
      <c r="O119" s="7">
        <f>IF(OR(H119="",H119=0),"",N119/H119)</f>
        <v/>
      </c>
      <c r="Q119" s="11" t="n"/>
    </row>
    <row r="120">
      <c r="A120" s="11" t="n"/>
      <c r="I120" s="7" t="n"/>
      <c r="J120" s="7">
        <f>IF(F120="","",F120*I120)</f>
        <v/>
      </c>
      <c r="K120" s="7">
        <f>IF(G120="","",G120*Settings!$B$5/1000*Settings!$B$6)</f>
        <v/>
      </c>
      <c r="L120" s="9" t="n"/>
      <c r="M120" s="7">
        <f>IF(J120="","",J120*L120)</f>
        <v/>
      </c>
      <c r="N120" s="7">
        <f>IF(J120="","",J120-K120-M120-Settings!$B$9)</f>
        <v/>
      </c>
      <c r="O120" s="7">
        <f>IF(OR(H120="",H120=0),"",N120/H120)</f>
        <v/>
      </c>
      <c r="Q120" s="11" t="n"/>
    </row>
    <row r="121">
      <c r="A121" s="11" t="n"/>
      <c r="I121" s="7" t="n"/>
      <c r="J121" s="7">
        <f>IF(F121="","",F121*I121)</f>
        <v/>
      </c>
      <c r="K121" s="7">
        <f>IF(G121="","",G121*Settings!$B$5/1000*Settings!$B$6)</f>
        <v/>
      </c>
      <c r="L121" s="9" t="n"/>
      <c r="M121" s="7">
        <f>IF(J121="","",J121*L121)</f>
        <v/>
      </c>
      <c r="N121" s="7">
        <f>IF(J121="","",J121-K121-M121-Settings!$B$9)</f>
        <v/>
      </c>
      <c r="O121" s="7">
        <f>IF(OR(H121="",H121=0),"",N121/H121)</f>
        <v/>
      </c>
      <c r="Q121" s="11" t="n"/>
    </row>
    <row r="122">
      <c r="A122" s="11" t="n"/>
      <c r="I122" s="7" t="n"/>
      <c r="J122" s="7">
        <f>IF(F122="","",F122*I122)</f>
        <v/>
      </c>
      <c r="K122" s="7">
        <f>IF(G122="","",G122*Settings!$B$5/1000*Settings!$B$6)</f>
        <v/>
      </c>
      <c r="L122" s="9" t="n"/>
      <c r="M122" s="7">
        <f>IF(J122="","",J122*L122)</f>
        <v/>
      </c>
      <c r="N122" s="7">
        <f>IF(J122="","",J122-K122-M122-Settings!$B$9)</f>
        <v/>
      </c>
      <c r="O122" s="7">
        <f>IF(OR(H122="",H122=0),"",N122/H122)</f>
        <v/>
      </c>
      <c r="Q122" s="11" t="n"/>
    </row>
    <row r="123">
      <c r="A123" s="11" t="n"/>
      <c r="I123" s="7" t="n"/>
      <c r="J123" s="7">
        <f>IF(F123="","",F123*I123)</f>
        <v/>
      </c>
      <c r="K123" s="7">
        <f>IF(G123="","",G123*Settings!$B$5/1000*Settings!$B$6)</f>
        <v/>
      </c>
      <c r="L123" s="9" t="n"/>
      <c r="M123" s="7">
        <f>IF(J123="","",J123*L123)</f>
        <v/>
      </c>
      <c r="N123" s="7">
        <f>IF(J123="","",J123-K123-M123-Settings!$B$9)</f>
        <v/>
      </c>
      <c r="O123" s="7">
        <f>IF(OR(H123="",H123=0),"",N123/H123)</f>
        <v/>
      </c>
      <c r="Q123" s="11" t="n"/>
    </row>
    <row r="124">
      <c r="A124" s="11" t="n"/>
      <c r="I124" s="7" t="n"/>
      <c r="J124" s="7">
        <f>IF(F124="","",F124*I124)</f>
        <v/>
      </c>
      <c r="K124" s="7">
        <f>IF(G124="","",G124*Settings!$B$5/1000*Settings!$B$6)</f>
        <v/>
      </c>
      <c r="L124" s="9" t="n"/>
      <c r="M124" s="7">
        <f>IF(J124="","",J124*L124)</f>
        <v/>
      </c>
      <c r="N124" s="7">
        <f>IF(J124="","",J124-K124-M124-Settings!$B$9)</f>
        <v/>
      </c>
      <c r="O124" s="7">
        <f>IF(OR(H124="",H124=0),"",N124/H124)</f>
        <v/>
      </c>
      <c r="Q124" s="11" t="n"/>
    </row>
    <row r="125">
      <c r="A125" s="11" t="n"/>
      <c r="I125" s="7" t="n"/>
      <c r="J125" s="7">
        <f>IF(F125="","",F125*I125)</f>
        <v/>
      </c>
      <c r="K125" s="7">
        <f>IF(G125="","",G125*Settings!$B$5/1000*Settings!$B$6)</f>
        <v/>
      </c>
      <c r="L125" s="9" t="n"/>
      <c r="M125" s="7">
        <f>IF(J125="","",J125*L125)</f>
        <v/>
      </c>
      <c r="N125" s="7">
        <f>IF(J125="","",J125-K125-M125-Settings!$B$9)</f>
        <v/>
      </c>
      <c r="O125" s="7">
        <f>IF(OR(H125="",H125=0),"",N125/H125)</f>
        <v/>
      </c>
      <c r="Q125" s="11" t="n"/>
    </row>
    <row r="126">
      <c r="A126" s="11" t="n"/>
      <c r="I126" s="7" t="n"/>
      <c r="J126" s="7">
        <f>IF(F126="","",F126*I126)</f>
        <v/>
      </c>
      <c r="K126" s="7">
        <f>IF(G126="","",G126*Settings!$B$5/1000*Settings!$B$6)</f>
        <v/>
      </c>
      <c r="L126" s="9" t="n"/>
      <c r="M126" s="7">
        <f>IF(J126="","",J126*L126)</f>
        <v/>
      </c>
      <c r="N126" s="7">
        <f>IF(J126="","",J126-K126-M126-Settings!$B$9)</f>
        <v/>
      </c>
      <c r="O126" s="7">
        <f>IF(OR(H126="",H126=0),"",N126/H126)</f>
        <v/>
      </c>
      <c r="Q126" s="11" t="n"/>
    </row>
    <row r="127">
      <c r="A127" s="11" t="n"/>
      <c r="I127" s="7" t="n"/>
      <c r="J127" s="7">
        <f>IF(F127="","",F127*I127)</f>
        <v/>
      </c>
      <c r="K127" s="7">
        <f>IF(G127="","",G127*Settings!$B$5/1000*Settings!$B$6)</f>
        <v/>
      </c>
      <c r="L127" s="9" t="n"/>
      <c r="M127" s="7">
        <f>IF(J127="","",J127*L127)</f>
        <v/>
      </c>
      <c r="N127" s="7">
        <f>IF(J127="","",J127-K127-M127-Settings!$B$9)</f>
        <v/>
      </c>
      <c r="O127" s="7">
        <f>IF(OR(H127="",H127=0),"",N127/H127)</f>
        <v/>
      </c>
      <c r="Q127" s="11" t="n"/>
    </row>
    <row r="128">
      <c r="A128" s="11" t="n"/>
      <c r="I128" s="7" t="n"/>
      <c r="J128" s="7">
        <f>IF(F128="","",F128*I128)</f>
        <v/>
      </c>
      <c r="K128" s="7">
        <f>IF(G128="","",G128*Settings!$B$5/1000*Settings!$B$6)</f>
        <v/>
      </c>
      <c r="L128" s="9" t="n"/>
      <c r="M128" s="7">
        <f>IF(J128="","",J128*L128)</f>
        <v/>
      </c>
      <c r="N128" s="7">
        <f>IF(J128="","",J128-K128-M128-Settings!$B$9)</f>
        <v/>
      </c>
      <c r="O128" s="7">
        <f>IF(OR(H128="",H128=0),"",N128/H128)</f>
        <v/>
      </c>
      <c r="Q128" s="11" t="n"/>
    </row>
    <row r="129">
      <c r="A129" s="11" t="n"/>
      <c r="I129" s="7" t="n"/>
      <c r="J129" s="7">
        <f>IF(F129="","",F129*I129)</f>
        <v/>
      </c>
      <c r="K129" s="7">
        <f>IF(G129="","",G129*Settings!$B$5/1000*Settings!$B$6)</f>
        <v/>
      </c>
      <c r="L129" s="9" t="n"/>
      <c r="M129" s="7">
        <f>IF(J129="","",J129*L129)</f>
        <v/>
      </c>
      <c r="N129" s="7">
        <f>IF(J129="","",J129-K129-M129-Settings!$B$9)</f>
        <v/>
      </c>
      <c r="O129" s="7">
        <f>IF(OR(H129="",H129=0),"",N129/H129)</f>
        <v/>
      </c>
      <c r="Q129" s="11" t="n"/>
    </row>
    <row r="130">
      <c r="A130" s="11" t="n"/>
      <c r="I130" s="7" t="n"/>
      <c r="J130" s="7">
        <f>IF(F130="","",F130*I130)</f>
        <v/>
      </c>
      <c r="K130" s="7">
        <f>IF(G130="","",G130*Settings!$B$5/1000*Settings!$B$6)</f>
        <v/>
      </c>
      <c r="L130" s="9" t="n"/>
      <c r="M130" s="7">
        <f>IF(J130="","",J130*L130)</f>
        <v/>
      </c>
      <c r="N130" s="7">
        <f>IF(J130="","",J130-K130-M130-Settings!$B$9)</f>
        <v/>
      </c>
      <c r="O130" s="7">
        <f>IF(OR(H130="",H130=0),"",N130/H130)</f>
        <v/>
      </c>
      <c r="Q130" s="11" t="n"/>
    </row>
    <row r="131">
      <c r="A131" s="11" t="n"/>
      <c r="I131" s="7" t="n"/>
      <c r="J131" s="7">
        <f>IF(F131="","",F131*I131)</f>
        <v/>
      </c>
      <c r="K131" s="7">
        <f>IF(G131="","",G131*Settings!$B$5/1000*Settings!$B$6)</f>
        <v/>
      </c>
      <c r="L131" s="9" t="n"/>
      <c r="M131" s="7">
        <f>IF(J131="","",J131*L131)</f>
        <v/>
      </c>
      <c r="N131" s="7">
        <f>IF(J131="","",J131-K131-M131-Settings!$B$9)</f>
        <v/>
      </c>
      <c r="O131" s="7">
        <f>IF(OR(H131="",H131=0),"",N131/H131)</f>
        <v/>
      </c>
      <c r="Q131" s="11" t="n"/>
    </row>
    <row r="132">
      <c r="A132" s="11" t="n"/>
      <c r="I132" s="7" t="n"/>
      <c r="J132" s="7">
        <f>IF(F132="","",F132*I132)</f>
        <v/>
      </c>
      <c r="K132" s="7">
        <f>IF(G132="","",G132*Settings!$B$5/1000*Settings!$B$6)</f>
        <v/>
      </c>
      <c r="L132" s="9" t="n"/>
      <c r="M132" s="7">
        <f>IF(J132="","",J132*L132)</f>
        <v/>
      </c>
      <c r="N132" s="7">
        <f>IF(J132="","",J132-K132-M132-Settings!$B$9)</f>
        <v/>
      </c>
      <c r="O132" s="7">
        <f>IF(OR(H132="",H132=0),"",N132/H132)</f>
        <v/>
      </c>
      <c r="Q132" s="11" t="n"/>
    </row>
    <row r="133">
      <c r="A133" s="11" t="n"/>
      <c r="I133" s="7" t="n"/>
      <c r="J133" s="7">
        <f>IF(F133="","",F133*I133)</f>
        <v/>
      </c>
      <c r="K133" s="7">
        <f>IF(G133="","",G133*Settings!$B$5/1000*Settings!$B$6)</f>
        <v/>
      </c>
      <c r="L133" s="9" t="n"/>
      <c r="M133" s="7">
        <f>IF(J133="","",J133*L133)</f>
        <v/>
      </c>
      <c r="N133" s="7">
        <f>IF(J133="","",J133-K133-M133-Settings!$B$9)</f>
        <v/>
      </c>
      <c r="O133" s="7">
        <f>IF(OR(H133="",H133=0),"",N133/H133)</f>
        <v/>
      </c>
      <c r="Q133" s="11" t="n"/>
    </row>
    <row r="134">
      <c r="A134" s="11" t="n"/>
      <c r="I134" s="7" t="n"/>
      <c r="J134" s="7">
        <f>IF(F134="","",F134*I134)</f>
        <v/>
      </c>
      <c r="K134" s="7">
        <f>IF(G134="","",G134*Settings!$B$5/1000*Settings!$B$6)</f>
        <v/>
      </c>
      <c r="L134" s="9" t="n"/>
      <c r="M134" s="7">
        <f>IF(J134="","",J134*L134)</f>
        <v/>
      </c>
      <c r="N134" s="7">
        <f>IF(J134="","",J134-K134-M134-Settings!$B$9)</f>
        <v/>
      </c>
      <c r="O134" s="7">
        <f>IF(OR(H134="",H134=0),"",N134/H134)</f>
        <v/>
      </c>
      <c r="Q134" s="11" t="n"/>
    </row>
    <row r="135">
      <c r="A135" s="11" t="n"/>
      <c r="I135" s="7" t="n"/>
      <c r="J135" s="7">
        <f>IF(F135="","",F135*I135)</f>
        <v/>
      </c>
      <c r="K135" s="7">
        <f>IF(G135="","",G135*Settings!$B$5/1000*Settings!$B$6)</f>
        <v/>
      </c>
      <c r="L135" s="9" t="n"/>
      <c r="M135" s="7">
        <f>IF(J135="","",J135*L135)</f>
        <v/>
      </c>
      <c r="N135" s="7">
        <f>IF(J135="","",J135-K135-M135-Settings!$B$9)</f>
        <v/>
      </c>
      <c r="O135" s="7">
        <f>IF(OR(H135="",H135=0),"",N135/H135)</f>
        <v/>
      </c>
      <c r="Q135" s="11" t="n"/>
    </row>
    <row r="136">
      <c r="A136" s="11" t="n"/>
      <c r="I136" s="7" t="n"/>
      <c r="J136" s="7">
        <f>IF(F136="","",F136*I136)</f>
        <v/>
      </c>
      <c r="K136" s="7">
        <f>IF(G136="","",G136*Settings!$B$5/1000*Settings!$B$6)</f>
        <v/>
      </c>
      <c r="L136" s="9" t="n"/>
      <c r="M136" s="7">
        <f>IF(J136="","",J136*L136)</f>
        <v/>
      </c>
      <c r="N136" s="7">
        <f>IF(J136="","",J136-K136-M136-Settings!$B$9)</f>
        <v/>
      </c>
      <c r="O136" s="7">
        <f>IF(OR(H136="",H136=0),"",N136/H136)</f>
        <v/>
      </c>
      <c r="Q136" s="11" t="n"/>
    </row>
    <row r="137">
      <c r="A137" s="11" t="n"/>
      <c r="I137" s="7" t="n"/>
      <c r="J137" s="7">
        <f>IF(F137="","",F137*I137)</f>
        <v/>
      </c>
      <c r="K137" s="7">
        <f>IF(G137="","",G137*Settings!$B$5/1000*Settings!$B$6)</f>
        <v/>
      </c>
      <c r="L137" s="9" t="n"/>
      <c r="M137" s="7">
        <f>IF(J137="","",J137*L137)</f>
        <v/>
      </c>
      <c r="N137" s="7">
        <f>IF(J137="","",J137-K137-M137-Settings!$B$9)</f>
        <v/>
      </c>
      <c r="O137" s="7">
        <f>IF(OR(H137="",H137=0),"",N137/H137)</f>
        <v/>
      </c>
      <c r="Q137" s="11" t="n"/>
    </row>
    <row r="138">
      <c r="A138" s="11" t="n"/>
      <c r="I138" s="7" t="n"/>
      <c r="J138" s="7">
        <f>IF(F138="","",F138*I138)</f>
        <v/>
      </c>
      <c r="K138" s="7">
        <f>IF(G138="","",G138*Settings!$B$5/1000*Settings!$B$6)</f>
        <v/>
      </c>
      <c r="L138" s="9" t="n"/>
      <c r="M138" s="7">
        <f>IF(J138="","",J138*L138)</f>
        <v/>
      </c>
      <c r="N138" s="7">
        <f>IF(J138="","",J138-K138-M138-Settings!$B$9)</f>
        <v/>
      </c>
      <c r="O138" s="7">
        <f>IF(OR(H138="",H138=0),"",N138/H138)</f>
        <v/>
      </c>
      <c r="Q138" s="11" t="n"/>
    </row>
    <row r="139">
      <c r="A139" s="11" t="n"/>
      <c r="I139" s="7" t="n"/>
      <c r="J139" s="7">
        <f>IF(F139="","",F139*I139)</f>
        <v/>
      </c>
      <c r="K139" s="7">
        <f>IF(G139="","",G139*Settings!$B$5/1000*Settings!$B$6)</f>
        <v/>
      </c>
      <c r="L139" s="9" t="n"/>
      <c r="M139" s="7">
        <f>IF(J139="","",J139*L139)</f>
        <v/>
      </c>
      <c r="N139" s="7">
        <f>IF(J139="","",J139-K139-M139-Settings!$B$9)</f>
        <v/>
      </c>
      <c r="O139" s="7">
        <f>IF(OR(H139="",H139=0),"",N139/H139)</f>
        <v/>
      </c>
      <c r="Q139" s="11" t="n"/>
    </row>
    <row r="140">
      <c r="A140" s="11" t="n"/>
      <c r="I140" s="7" t="n"/>
      <c r="J140" s="7">
        <f>IF(F140="","",F140*I140)</f>
        <v/>
      </c>
      <c r="K140" s="7">
        <f>IF(G140="","",G140*Settings!$B$5/1000*Settings!$B$6)</f>
        <v/>
      </c>
      <c r="L140" s="9" t="n"/>
      <c r="M140" s="7">
        <f>IF(J140="","",J140*L140)</f>
        <v/>
      </c>
      <c r="N140" s="7">
        <f>IF(J140="","",J140-K140-M140-Settings!$B$9)</f>
        <v/>
      </c>
      <c r="O140" s="7">
        <f>IF(OR(H140="",H140=0),"",N140/H140)</f>
        <v/>
      </c>
      <c r="Q140" s="11" t="n"/>
    </row>
    <row r="141">
      <c r="A141" s="11" t="n"/>
      <c r="I141" s="7" t="n"/>
      <c r="J141" s="7">
        <f>IF(F141="","",F141*I141)</f>
        <v/>
      </c>
      <c r="K141" s="7">
        <f>IF(G141="","",G141*Settings!$B$5/1000*Settings!$B$6)</f>
        <v/>
      </c>
      <c r="L141" s="9" t="n"/>
      <c r="M141" s="7">
        <f>IF(J141="","",J141*L141)</f>
        <v/>
      </c>
      <c r="N141" s="7">
        <f>IF(J141="","",J141-K141-M141-Settings!$B$9)</f>
        <v/>
      </c>
      <c r="O141" s="7">
        <f>IF(OR(H141="",H141=0),"",N141/H141)</f>
        <v/>
      </c>
      <c r="Q141" s="11" t="n"/>
    </row>
    <row r="142">
      <c r="A142" s="11" t="n"/>
      <c r="I142" s="7" t="n"/>
      <c r="J142" s="7">
        <f>IF(F142="","",F142*I142)</f>
        <v/>
      </c>
      <c r="K142" s="7">
        <f>IF(G142="","",G142*Settings!$B$5/1000*Settings!$B$6)</f>
        <v/>
      </c>
      <c r="L142" s="9" t="n"/>
      <c r="M142" s="7">
        <f>IF(J142="","",J142*L142)</f>
        <v/>
      </c>
      <c r="N142" s="7">
        <f>IF(J142="","",J142-K142-M142-Settings!$B$9)</f>
        <v/>
      </c>
      <c r="O142" s="7">
        <f>IF(OR(H142="",H142=0),"",N142/H142)</f>
        <v/>
      </c>
      <c r="Q142" s="11" t="n"/>
    </row>
    <row r="143">
      <c r="A143" s="11" t="n"/>
      <c r="I143" s="7" t="n"/>
      <c r="J143" s="7">
        <f>IF(F143="","",F143*I143)</f>
        <v/>
      </c>
      <c r="K143" s="7">
        <f>IF(G143="","",G143*Settings!$B$5/1000*Settings!$B$6)</f>
        <v/>
      </c>
      <c r="L143" s="9" t="n"/>
      <c r="M143" s="7">
        <f>IF(J143="","",J143*L143)</f>
        <v/>
      </c>
      <c r="N143" s="7">
        <f>IF(J143="","",J143-K143-M143-Settings!$B$9)</f>
        <v/>
      </c>
      <c r="O143" s="7">
        <f>IF(OR(H143="",H143=0),"",N143/H143)</f>
        <v/>
      </c>
      <c r="Q143" s="11" t="n"/>
    </row>
    <row r="144">
      <c r="A144" s="11" t="n"/>
      <c r="I144" s="7" t="n"/>
      <c r="J144" s="7">
        <f>IF(F144="","",F144*I144)</f>
        <v/>
      </c>
      <c r="K144" s="7">
        <f>IF(G144="","",G144*Settings!$B$5/1000*Settings!$B$6)</f>
        <v/>
      </c>
      <c r="L144" s="9" t="n"/>
      <c r="M144" s="7">
        <f>IF(J144="","",J144*L144)</f>
        <v/>
      </c>
      <c r="N144" s="7">
        <f>IF(J144="","",J144-K144-M144-Settings!$B$9)</f>
        <v/>
      </c>
      <c r="O144" s="7">
        <f>IF(OR(H144="",H144=0),"",N144/H144)</f>
        <v/>
      </c>
      <c r="Q144" s="11" t="n"/>
    </row>
    <row r="145">
      <c r="A145" s="11" t="n"/>
      <c r="I145" s="7" t="n"/>
      <c r="J145" s="7">
        <f>IF(F145="","",F145*I145)</f>
        <v/>
      </c>
      <c r="K145" s="7">
        <f>IF(G145="","",G145*Settings!$B$5/1000*Settings!$B$6)</f>
        <v/>
      </c>
      <c r="L145" s="9" t="n"/>
      <c r="M145" s="7">
        <f>IF(J145="","",J145*L145)</f>
        <v/>
      </c>
      <c r="N145" s="7">
        <f>IF(J145="","",J145-K145-M145-Settings!$B$9)</f>
        <v/>
      </c>
      <c r="O145" s="7">
        <f>IF(OR(H145="",H145=0),"",N145/H145)</f>
        <v/>
      </c>
      <c r="Q145" s="11" t="n"/>
    </row>
    <row r="146">
      <c r="A146" s="11" t="n"/>
      <c r="I146" s="7" t="n"/>
      <c r="J146" s="7">
        <f>IF(F146="","",F146*I146)</f>
        <v/>
      </c>
      <c r="K146" s="7">
        <f>IF(G146="","",G146*Settings!$B$5/1000*Settings!$B$6)</f>
        <v/>
      </c>
      <c r="L146" s="9" t="n"/>
      <c r="M146" s="7">
        <f>IF(J146="","",J146*L146)</f>
        <v/>
      </c>
      <c r="N146" s="7">
        <f>IF(J146="","",J146-K146-M146-Settings!$B$9)</f>
        <v/>
      </c>
      <c r="O146" s="7">
        <f>IF(OR(H146="",H146=0),"",N146/H146)</f>
        <v/>
      </c>
      <c r="Q146" s="11" t="n"/>
    </row>
    <row r="147">
      <c r="A147" s="11" t="n"/>
      <c r="I147" s="7" t="n"/>
      <c r="J147" s="7">
        <f>IF(F147="","",F147*I147)</f>
        <v/>
      </c>
      <c r="K147" s="7">
        <f>IF(G147="","",G147*Settings!$B$5/1000*Settings!$B$6)</f>
        <v/>
      </c>
      <c r="L147" s="9" t="n"/>
      <c r="M147" s="7">
        <f>IF(J147="","",J147*L147)</f>
        <v/>
      </c>
      <c r="N147" s="7">
        <f>IF(J147="","",J147-K147-M147-Settings!$B$9)</f>
        <v/>
      </c>
      <c r="O147" s="7">
        <f>IF(OR(H147="",H147=0),"",N147/H147)</f>
        <v/>
      </c>
      <c r="Q147" s="11" t="n"/>
    </row>
    <row r="148">
      <c r="A148" s="11" t="n"/>
      <c r="I148" s="7" t="n"/>
      <c r="J148" s="7">
        <f>IF(F148="","",F148*I148)</f>
        <v/>
      </c>
      <c r="K148" s="7">
        <f>IF(G148="","",G148*Settings!$B$5/1000*Settings!$B$6)</f>
        <v/>
      </c>
      <c r="L148" s="9" t="n"/>
      <c r="M148" s="7">
        <f>IF(J148="","",J148*L148)</f>
        <v/>
      </c>
      <c r="N148" s="7">
        <f>IF(J148="","",J148-K148-M148-Settings!$B$9)</f>
        <v/>
      </c>
      <c r="O148" s="7">
        <f>IF(OR(H148="",H148=0),"",N148/H148)</f>
        <v/>
      </c>
      <c r="Q148" s="11" t="n"/>
    </row>
    <row r="149">
      <c r="A149" s="11" t="n"/>
      <c r="I149" s="7" t="n"/>
      <c r="J149" s="7">
        <f>IF(F149="","",F149*I149)</f>
        <v/>
      </c>
      <c r="K149" s="7">
        <f>IF(G149="","",G149*Settings!$B$5/1000*Settings!$B$6)</f>
        <v/>
      </c>
      <c r="L149" s="9" t="n"/>
      <c r="M149" s="7">
        <f>IF(J149="","",J149*L149)</f>
        <v/>
      </c>
      <c r="N149" s="7">
        <f>IF(J149="","",J149-K149-M149-Settings!$B$9)</f>
        <v/>
      </c>
      <c r="O149" s="7">
        <f>IF(OR(H149="",H149=0),"",N149/H149)</f>
        <v/>
      </c>
      <c r="Q149" s="11" t="n"/>
    </row>
    <row r="150">
      <c r="A150" s="11" t="n"/>
      <c r="I150" s="7" t="n"/>
      <c r="J150" s="7">
        <f>IF(F150="","",F150*I150)</f>
        <v/>
      </c>
      <c r="K150" s="7">
        <f>IF(G150="","",G150*Settings!$B$5/1000*Settings!$B$6)</f>
        <v/>
      </c>
      <c r="L150" s="9" t="n"/>
      <c r="M150" s="7">
        <f>IF(J150="","",J150*L150)</f>
        <v/>
      </c>
      <c r="N150" s="7">
        <f>IF(J150="","",J150-K150-M150-Settings!$B$9)</f>
        <v/>
      </c>
      <c r="O150" s="7">
        <f>IF(OR(H150="",H150=0),"",N150/H150)</f>
        <v/>
      </c>
      <c r="Q150" s="11" t="n"/>
    </row>
    <row r="151">
      <c r="A151" s="11" t="n"/>
      <c r="I151" s="7" t="n"/>
      <c r="J151" s="7">
        <f>IF(F151="","",F151*I151)</f>
        <v/>
      </c>
      <c r="K151" s="7">
        <f>IF(G151="","",G151*Settings!$B$5/1000*Settings!$B$6)</f>
        <v/>
      </c>
      <c r="L151" s="9" t="n"/>
      <c r="M151" s="7">
        <f>IF(J151="","",J151*L151)</f>
        <v/>
      </c>
      <c r="N151" s="7">
        <f>IF(J151="","",J151-K151-M151-Settings!$B$9)</f>
        <v/>
      </c>
      <c r="O151" s="7">
        <f>IF(OR(H151="",H151=0),"",N151/H151)</f>
        <v/>
      </c>
      <c r="Q151" s="11" t="n"/>
    </row>
    <row r="152">
      <c r="A152" s="11" t="n"/>
      <c r="I152" s="7" t="n"/>
      <c r="J152" s="7">
        <f>IF(F152="","",F152*I152)</f>
        <v/>
      </c>
      <c r="K152" s="7">
        <f>IF(G152="","",G152*Settings!$B$5/1000*Settings!$B$6)</f>
        <v/>
      </c>
      <c r="L152" s="9" t="n"/>
      <c r="M152" s="7">
        <f>IF(J152="","",J152*L152)</f>
        <v/>
      </c>
      <c r="N152" s="7">
        <f>IF(J152="","",J152-K152-M152-Settings!$B$9)</f>
        <v/>
      </c>
      <c r="O152" s="7">
        <f>IF(OR(H152="",H152=0),"",N152/H152)</f>
        <v/>
      </c>
      <c r="Q152" s="11" t="n"/>
    </row>
    <row r="153">
      <c r="A153" s="11" t="n"/>
      <c r="I153" s="7" t="n"/>
      <c r="J153" s="7">
        <f>IF(F153="","",F153*I153)</f>
        <v/>
      </c>
      <c r="K153" s="7">
        <f>IF(G153="","",G153*Settings!$B$5/1000*Settings!$B$6)</f>
        <v/>
      </c>
      <c r="L153" s="9" t="n"/>
      <c r="M153" s="7">
        <f>IF(J153="","",J153*L153)</f>
        <v/>
      </c>
      <c r="N153" s="7">
        <f>IF(J153="","",J153-K153-M153-Settings!$B$9)</f>
        <v/>
      </c>
      <c r="O153" s="7">
        <f>IF(OR(H153="",H153=0),"",N153/H153)</f>
        <v/>
      </c>
      <c r="Q153" s="11" t="n"/>
    </row>
    <row r="154">
      <c r="A154" s="11" t="n"/>
      <c r="I154" s="7" t="n"/>
      <c r="J154" s="7">
        <f>IF(F154="","",F154*I154)</f>
        <v/>
      </c>
      <c r="K154" s="7">
        <f>IF(G154="","",G154*Settings!$B$5/1000*Settings!$B$6)</f>
        <v/>
      </c>
      <c r="L154" s="9" t="n"/>
      <c r="M154" s="7">
        <f>IF(J154="","",J154*L154)</f>
        <v/>
      </c>
      <c r="N154" s="7">
        <f>IF(J154="","",J154-K154-M154-Settings!$B$9)</f>
        <v/>
      </c>
      <c r="O154" s="7">
        <f>IF(OR(H154="",H154=0),"",N154/H154)</f>
        <v/>
      </c>
      <c r="Q154" s="11" t="n"/>
    </row>
    <row r="155">
      <c r="A155" s="11" t="n"/>
      <c r="I155" s="7" t="n"/>
      <c r="J155" s="7">
        <f>IF(F155="","",F155*I155)</f>
        <v/>
      </c>
      <c r="K155" s="7">
        <f>IF(G155="","",G155*Settings!$B$5/1000*Settings!$B$6)</f>
        <v/>
      </c>
      <c r="L155" s="9" t="n"/>
      <c r="M155" s="7">
        <f>IF(J155="","",J155*L155)</f>
        <v/>
      </c>
      <c r="N155" s="7">
        <f>IF(J155="","",J155-K155-M155-Settings!$B$9)</f>
        <v/>
      </c>
      <c r="O155" s="7">
        <f>IF(OR(H155="",H155=0),"",N155/H155)</f>
        <v/>
      </c>
      <c r="Q155" s="11" t="n"/>
    </row>
    <row r="156">
      <c r="A156" s="11" t="n"/>
      <c r="I156" s="7" t="n"/>
      <c r="J156" s="7">
        <f>IF(F156="","",F156*I156)</f>
        <v/>
      </c>
      <c r="K156" s="7">
        <f>IF(G156="","",G156*Settings!$B$5/1000*Settings!$B$6)</f>
        <v/>
      </c>
      <c r="L156" s="9" t="n"/>
      <c r="M156" s="7">
        <f>IF(J156="","",J156*L156)</f>
        <v/>
      </c>
      <c r="N156" s="7">
        <f>IF(J156="","",J156-K156-M156-Settings!$B$9)</f>
        <v/>
      </c>
      <c r="O156" s="7">
        <f>IF(OR(H156="",H156=0),"",N156/H156)</f>
        <v/>
      </c>
      <c r="Q156" s="11" t="n"/>
    </row>
    <row r="157">
      <c r="A157" s="11" t="n"/>
      <c r="I157" s="7" t="n"/>
      <c r="J157" s="7">
        <f>IF(F157="","",F157*I157)</f>
        <v/>
      </c>
      <c r="K157" s="7">
        <f>IF(G157="","",G157*Settings!$B$5/1000*Settings!$B$6)</f>
        <v/>
      </c>
      <c r="L157" s="9" t="n"/>
      <c r="M157" s="7">
        <f>IF(J157="","",J157*L157)</f>
        <v/>
      </c>
      <c r="N157" s="7">
        <f>IF(J157="","",J157-K157-M157-Settings!$B$9)</f>
        <v/>
      </c>
      <c r="O157" s="7">
        <f>IF(OR(H157="",H157=0),"",N157/H157)</f>
        <v/>
      </c>
      <c r="Q157" s="11" t="n"/>
    </row>
    <row r="158">
      <c r="A158" s="11" t="n"/>
      <c r="I158" s="7" t="n"/>
      <c r="J158" s="7">
        <f>IF(F158="","",F158*I158)</f>
        <v/>
      </c>
      <c r="K158" s="7">
        <f>IF(G158="","",G158*Settings!$B$5/1000*Settings!$B$6)</f>
        <v/>
      </c>
      <c r="L158" s="9" t="n"/>
      <c r="M158" s="7">
        <f>IF(J158="","",J158*L158)</f>
        <v/>
      </c>
      <c r="N158" s="7">
        <f>IF(J158="","",J158-K158-M158-Settings!$B$9)</f>
        <v/>
      </c>
      <c r="O158" s="7">
        <f>IF(OR(H158="",H158=0),"",N158/H158)</f>
        <v/>
      </c>
      <c r="Q158" s="11" t="n"/>
    </row>
    <row r="159">
      <c r="A159" s="11" t="n"/>
      <c r="I159" s="7" t="n"/>
      <c r="J159" s="7">
        <f>IF(F159="","",F159*I159)</f>
        <v/>
      </c>
      <c r="K159" s="7">
        <f>IF(G159="","",G159*Settings!$B$5/1000*Settings!$B$6)</f>
        <v/>
      </c>
      <c r="L159" s="9" t="n"/>
      <c r="M159" s="7">
        <f>IF(J159="","",J159*L159)</f>
        <v/>
      </c>
      <c r="N159" s="7">
        <f>IF(J159="","",J159-K159-M159-Settings!$B$9)</f>
        <v/>
      </c>
      <c r="O159" s="7">
        <f>IF(OR(H159="",H159=0),"",N159/H159)</f>
        <v/>
      </c>
      <c r="Q159" s="11" t="n"/>
    </row>
    <row r="160">
      <c r="A160" s="11" t="n"/>
      <c r="I160" s="7" t="n"/>
      <c r="J160" s="7">
        <f>IF(F160="","",F160*I160)</f>
        <v/>
      </c>
      <c r="K160" s="7">
        <f>IF(G160="","",G160*Settings!$B$5/1000*Settings!$B$6)</f>
        <v/>
      </c>
      <c r="L160" s="9" t="n"/>
      <c r="M160" s="7">
        <f>IF(J160="","",J160*L160)</f>
        <v/>
      </c>
      <c r="N160" s="7">
        <f>IF(J160="","",J160-K160-M160-Settings!$B$9)</f>
        <v/>
      </c>
      <c r="O160" s="7">
        <f>IF(OR(H160="",H160=0),"",N160/H160)</f>
        <v/>
      </c>
      <c r="Q160" s="11" t="n"/>
    </row>
    <row r="161">
      <c r="A161" s="11" t="n"/>
      <c r="I161" s="7" t="n"/>
      <c r="J161" s="7">
        <f>IF(F161="","",F161*I161)</f>
        <v/>
      </c>
      <c r="K161" s="7">
        <f>IF(G161="","",G161*Settings!$B$5/1000*Settings!$B$6)</f>
        <v/>
      </c>
      <c r="L161" s="9" t="n"/>
      <c r="M161" s="7">
        <f>IF(J161="","",J161*L161)</f>
        <v/>
      </c>
      <c r="N161" s="7">
        <f>IF(J161="","",J161-K161-M161-Settings!$B$9)</f>
        <v/>
      </c>
      <c r="O161" s="7">
        <f>IF(OR(H161="",H161=0),"",N161/H161)</f>
        <v/>
      </c>
      <c r="Q161" s="11" t="n"/>
    </row>
    <row r="162">
      <c r="A162" s="11" t="n"/>
      <c r="I162" s="7" t="n"/>
      <c r="J162" s="7">
        <f>IF(F162="","",F162*I162)</f>
        <v/>
      </c>
      <c r="K162" s="7">
        <f>IF(G162="","",G162*Settings!$B$5/1000*Settings!$B$6)</f>
        <v/>
      </c>
      <c r="L162" s="9" t="n"/>
      <c r="M162" s="7">
        <f>IF(J162="","",J162*L162)</f>
        <v/>
      </c>
      <c r="N162" s="7">
        <f>IF(J162="","",J162-K162-M162-Settings!$B$9)</f>
        <v/>
      </c>
      <c r="O162" s="7">
        <f>IF(OR(H162="",H162=0),"",N162/H162)</f>
        <v/>
      </c>
      <c r="Q162" s="11" t="n"/>
    </row>
    <row r="163">
      <c r="A163" s="11" t="n"/>
      <c r="I163" s="7" t="n"/>
      <c r="J163" s="7">
        <f>IF(F163="","",F163*I163)</f>
        <v/>
      </c>
      <c r="K163" s="7">
        <f>IF(G163="","",G163*Settings!$B$5/1000*Settings!$B$6)</f>
        <v/>
      </c>
      <c r="L163" s="9" t="n"/>
      <c r="M163" s="7">
        <f>IF(J163="","",J163*L163)</f>
        <v/>
      </c>
      <c r="N163" s="7">
        <f>IF(J163="","",J163-K163-M163-Settings!$B$9)</f>
        <v/>
      </c>
      <c r="O163" s="7">
        <f>IF(OR(H163="",H163=0),"",N163/H163)</f>
        <v/>
      </c>
      <c r="Q163" s="11" t="n"/>
    </row>
    <row r="164">
      <c r="A164" s="11" t="n"/>
      <c r="I164" s="7" t="n"/>
      <c r="J164" s="7">
        <f>IF(F164="","",F164*I164)</f>
        <v/>
      </c>
      <c r="K164" s="7">
        <f>IF(G164="","",G164*Settings!$B$5/1000*Settings!$B$6)</f>
        <v/>
      </c>
      <c r="L164" s="9" t="n"/>
      <c r="M164" s="7">
        <f>IF(J164="","",J164*L164)</f>
        <v/>
      </c>
      <c r="N164" s="7">
        <f>IF(J164="","",J164-K164-M164-Settings!$B$9)</f>
        <v/>
      </c>
      <c r="O164" s="7">
        <f>IF(OR(H164="",H164=0),"",N164/H164)</f>
        <v/>
      </c>
      <c r="Q164" s="11" t="n"/>
    </row>
    <row r="165">
      <c r="A165" s="11" t="n"/>
      <c r="I165" s="7" t="n"/>
      <c r="J165" s="7">
        <f>IF(F165="","",F165*I165)</f>
        <v/>
      </c>
      <c r="K165" s="7">
        <f>IF(G165="","",G165*Settings!$B$5/1000*Settings!$B$6)</f>
        <v/>
      </c>
      <c r="L165" s="9" t="n"/>
      <c r="M165" s="7">
        <f>IF(J165="","",J165*L165)</f>
        <v/>
      </c>
      <c r="N165" s="7">
        <f>IF(J165="","",J165-K165-M165-Settings!$B$9)</f>
        <v/>
      </c>
      <c r="O165" s="7">
        <f>IF(OR(H165="",H165=0),"",N165/H165)</f>
        <v/>
      </c>
      <c r="Q165" s="11" t="n"/>
    </row>
    <row r="166">
      <c r="A166" s="11" t="n"/>
      <c r="I166" s="7" t="n"/>
      <c r="J166" s="7">
        <f>IF(F166="","",F166*I166)</f>
        <v/>
      </c>
      <c r="K166" s="7">
        <f>IF(G166="","",G166*Settings!$B$5/1000*Settings!$B$6)</f>
        <v/>
      </c>
      <c r="L166" s="9" t="n"/>
      <c r="M166" s="7">
        <f>IF(J166="","",J166*L166)</f>
        <v/>
      </c>
      <c r="N166" s="7">
        <f>IF(J166="","",J166-K166-M166-Settings!$B$9)</f>
        <v/>
      </c>
      <c r="O166" s="7">
        <f>IF(OR(H166="",H166=0),"",N166/H166)</f>
        <v/>
      </c>
      <c r="Q166" s="11" t="n"/>
    </row>
    <row r="167">
      <c r="A167" s="11" t="n"/>
      <c r="I167" s="7" t="n"/>
      <c r="J167" s="7">
        <f>IF(F167="","",F167*I167)</f>
        <v/>
      </c>
      <c r="K167" s="7">
        <f>IF(G167="","",G167*Settings!$B$5/1000*Settings!$B$6)</f>
        <v/>
      </c>
      <c r="L167" s="9" t="n"/>
      <c r="M167" s="7">
        <f>IF(J167="","",J167*L167)</f>
        <v/>
      </c>
      <c r="N167" s="7">
        <f>IF(J167="","",J167-K167-M167-Settings!$B$9)</f>
        <v/>
      </c>
      <c r="O167" s="7">
        <f>IF(OR(H167="",H167=0),"",N167/H167)</f>
        <v/>
      </c>
      <c r="Q167" s="11" t="n"/>
    </row>
    <row r="168">
      <c r="A168" s="11" t="n"/>
      <c r="I168" s="7" t="n"/>
      <c r="J168" s="7">
        <f>IF(F168="","",F168*I168)</f>
        <v/>
      </c>
      <c r="K168" s="7">
        <f>IF(G168="","",G168*Settings!$B$5/1000*Settings!$B$6)</f>
        <v/>
      </c>
      <c r="L168" s="9" t="n"/>
      <c r="M168" s="7">
        <f>IF(J168="","",J168*L168)</f>
        <v/>
      </c>
      <c r="N168" s="7">
        <f>IF(J168="","",J168-K168-M168-Settings!$B$9)</f>
        <v/>
      </c>
      <c r="O168" s="7">
        <f>IF(OR(H168="",H168=0),"",N168/H168)</f>
        <v/>
      </c>
      <c r="Q168" s="11" t="n"/>
    </row>
    <row r="169">
      <c r="A169" s="11" t="n"/>
      <c r="I169" s="7" t="n"/>
      <c r="J169" s="7">
        <f>IF(F169="","",F169*I169)</f>
        <v/>
      </c>
      <c r="K169" s="7">
        <f>IF(G169="","",G169*Settings!$B$5/1000*Settings!$B$6)</f>
        <v/>
      </c>
      <c r="L169" s="9" t="n"/>
      <c r="M169" s="7">
        <f>IF(J169="","",J169*L169)</f>
        <v/>
      </c>
      <c r="N169" s="7">
        <f>IF(J169="","",J169-K169-M169-Settings!$B$9)</f>
        <v/>
      </c>
      <c r="O169" s="7">
        <f>IF(OR(H169="",H169=0),"",N169/H169)</f>
        <v/>
      </c>
      <c r="Q169" s="11" t="n"/>
    </row>
    <row r="170">
      <c r="A170" s="11" t="n"/>
      <c r="I170" s="7" t="n"/>
      <c r="J170" s="7">
        <f>IF(F170="","",F170*I170)</f>
        <v/>
      </c>
      <c r="K170" s="7">
        <f>IF(G170="","",G170*Settings!$B$5/1000*Settings!$B$6)</f>
        <v/>
      </c>
      <c r="L170" s="9" t="n"/>
      <c r="M170" s="7">
        <f>IF(J170="","",J170*L170)</f>
        <v/>
      </c>
      <c r="N170" s="7">
        <f>IF(J170="","",J170-K170-M170-Settings!$B$9)</f>
        <v/>
      </c>
      <c r="O170" s="7">
        <f>IF(OR(H170="",H170=0),"",N170/H170)</f>
        <v/>
      </c>
      <c r="Q170" s="11" t="n"/>
    </row>
    <row r="171">
      <c r="A171" s="11" t="n"/>
      <c r="I171" s="7" t="n"/>
      <c r="J171" s="7">
        <f>IF(F171="","",F171*I171)</f>
        <v/>
      </c>
      <c r="K171" s="7">
        <f>IF(G171="","",G171*Settings!$B$5/1000*Settings!$B$6)</f>
        <v/>
      </c>
      <c r="L171" s="9" t="n"/>
      <c r="M171" s="7">
        <f>IF(J171="","",J171*L171)</f>
        <v/>
      </c>
      <c r="N171" s="7">
        <f>IF(J171="","",J171-K171-M171-Settings!$B$9)</f>
        <v/>
      </c>
      <c r="O171" s="7">
        <f>IF(OR(H171="",H171=0),"",N171/H171)</f>
        <v/>
      </c>
      <c r="Q171" s="11" t="n"/>
    </row>
    <row r="172">
      <c r="A172" s="11" t="n"/>
      <c r="I172" s="7" t="n"/>
      <c r="J172" s="7">
        <f>IF(F172="","",F172*I172)</f>
        <v/>
      </c>
      <c r="K172" s="7">
        <f>IF(G172="","",G172*Settings!$B$5/1000*Settings!$B$6)</f>
        <v/>
      </c>
      <c r="L172" s="9" t="n"/>
      <c r="M172" s="7">
        <f>IF(J172="","",J172*L172)</f>
        <v/>
      </c>
      <c r="N172" s="7">
        <f>IF(J172="","",J172-K172-M172-Settings!$B$9)</f>
        <v/>
      </c>
      <c r="O172" s="7">
        <f>IF(OR(H172="",H172=0),"",N172/H172)</f>
        <v/>
      </c>
      <c r="Q172" s="11" t="n"/>
    </row>
    <row r="173">
      <c r="A173" s="11" t="n"/>
      <c r="I173" s="7" t="n"/>
      <c r="J173" s="7">
        <f>IF(F173="","",F173*I173)</f>
        <v/>
      </c>
      <c r="K173" s="7">
        <f>IF(G173="","",G173*Settings!$B$5/1000*Settings!$B$6)</f>
        <v/>
      </c>
      <c r="L173" s="9" t="n"/>
      <c r="M173" s="7">
        <f>IF(J173="","",J173*L173)</f>
        <v/>
      </c>
      <c r="N173" s="7">
        <f>IF(J173="","",J173-K173-M173-Settings!$B$9)</f>
        <v/>
      </c>
      <c r="O173" s="7">
        <f>IF(OR(H173="",H173=0),"",N173/H173)</f>
        <v/>
      </c>
      <c r="Q173" s="11" t="n"/>
    </row>
    <row r="174">
      <c r="A174" s="11" t="n"/>
      <c r="I174" s="7" t="n"/>
      <c r="J174" s="7">
        <f>IF(F174="","",F174*I174)</f>
        <v/>
      </c>
      <c r="K174" s="7">
        <f>IF(G174="","",G174*Settings!$B$5/1000*Settings!$B$6)</f>
        <v/>
      </c>
      <c r="L174" s="9" t="n"/>
      <c r="M174" s="7">
        <f>IF(J174="","",J174*L174)</f>
        <v/>
      </c>
      <c r="N174" s="7">
        <f>IF(J174="","",J174-K174-M174-Settings!$B$9)</f>
        <v/>
      </c>
      <c r="O174" s="7">
        <f>IF(OR(H174="",H174=0),"",N174/H174)</f>
        <v/>
      </c>
      <c r="Q174" s="11" t="n"/>
    </row>
    <row r="175">
      <c r="A175" s="11" t="n"/>
      <c r="I175" s="7" t="n"/>
      <c r="J175" s="7">
        <f>IF(F175="","",F175*I175)</f>
        <v/>
      </c>
      <c r="K175" s="7">
        <f>IF(G175="","",G175*Settings!$B$5/1000*Settings!$B$6)</f>
        <v/>
      </c>
      <c r="L175" s="9" t="n"/>
      <c r="M175" s="7">
        <f>IF(J175="","",J175*L175)</f>
        <v/>
      </c>
      <c r="N175" s="7">
        <f>IF(J175="","",J175-K175-M175-Settings!$B$9)</f>
        <v/>
      </c>
      <c r="O175" s="7">
        <f>IF(OR(H175="",H175=0),"",N175/H175)</f>
        <v/>
      </c>
      <c r="Q175" s="11" t="n"/>
    </row>
    <row r="176">
      <c r="A176" s="11" t="n"/>
      <c r="I176" s="7" t="n"/>
      <c r="J176" s="7">
        <f>IF(F176="","",F176*I176)</f>
        <v/>
      </c>
      <c r="K176" s="7">
        <f>IF(G176="","",G176*Settings!$B$5/1000*Settings!$B$6)</f>
        <v/>
      </c>
      <c r="L176" s="9" t="n"/>
      <c r="M176" s="7">
        <f>IF(J176="","",J176*L176)</f>
        <v/>
      </c>
      <c r="N176" s="7">
        <f>IF(J176="","",J176-K176-M176-Settings!$B$9)</f>
        <v/>
      </c>
      <c r="O176" s="7">
        <f>IF(OR(H176="",H176=0),"",N176/H176)</f>
        <v/>
      </c>
      <c r="Q176" s="11" t="n"/>
    </row>
    <row r="177">
      <c r="A177" s="11" t="n"/>
      <c r="I177" s="7" t="n"/>
      <c r="J177" s="7">
        <f>IF(F177="","",F177*I177)</f>
        <v/>
      </c>
      <c r="K177" s="7">
        <f>IF(G177="","",G177*Settings!$B$5/1000*Settings!$B$6)</f>
        <v/>
      </c>
      <c r="L177" s="9" t="n"/>
      <c r="M177" s="7">
        <f>IF(J177="","",J177*L177)</f>
        <v/>
      </c>
      <c r="N177" s="7">
        <f>IF(J177="","",J177-K177-M177-Settings!$B$9)</f>
        <v/>
      </c>
      <c r="O177" s="7">
        <f>IF(OR(H177="",H177=0),"",N177/H177)</f>
        <v/>
      </c>
      <c r="Q177" s="11" t="n"/>
    </row>
    <row r="178">
      <c r="A178" s="11" t="n"/>
      <c r="I178" s="7" t="n"/>
      <c r="J178" s="7">
        <f>IF(F178="","",F178*I178)</f>
        <v/>
      </c>
      <c r="K178" s="7">
        <f>IF(G178="","",G178*Settings!$B$5/1000*Settings!$B$6)</f>
        <v/>
      </c>
      <c r="L178" s="9" t="n"/>
      <c r="M178" s="7">
        <f>IF(J178="","",J178*L178)</f>
        <v/>
      </c>
      <c r="N178" s="7">
        <f>IF(J178="","",J178-K178-M178-Settings!$B$9)</f>
        <v/>
      </c>
      <c r="O178" s="7">
        <f>IF(OR(H178="",H178=0),"",N178/H178)</f>
        <v/>
      </c>
      <c r="Q178" s="11" t="n"/>
    </row>
    <row r="179">
      <c r="A179" s="11" t="n"/>
      <c r="I179" s="7" t="n"/>
      <c r="J179" s="7">
        <f>IF(F179="","",F179*I179)</f>
        <v/>
      </c>
      <c r="K179" s="7">
        <f>IF(G179="","",G179*Settings!$B$5/1000*Settings!$B$6)</f>
        <v/>
      </c>
      <c r="L179" s="9" t="n"/>
      <c r="M179" s="7">
        <f>IF(J179="","",J179*L179)</f>
        <v/>
      </c>
      <c r="N179" s="7">
        <f>IF(J179="","",J179-K179-M179-Settings!$B$9)</f>
        <v/>
      </c>
      <c r="O179" s="7">
        <f>IF(OR(H179="",H179=0),"",N179/H179)</f>
        <v/>
      </c>
      <c r="Q179" s="11" t="n"/>
    </row>
    <row r="180">
      <c r="A180" s="11" t="n"/>
      <c r="I180" s="7" t="n"/>
      <c r="J180" s="7">
        <f>IF(F180="","",F180*I180)</f>
        <v/>
      </c>
      <c r="K180" s="7">
        <f>IF(G180="","",G180*Settings!$B$5/1000*Settings!$B$6)</f>
        <v/>
      </c>
      <c r="L180" s="9" t="n"/>
      <c r="M180" s="7">
        <f>IF(J180="","",J180*L180)</f>
        <v/>
      </c>
      <c r="N180" s="7">
        <f>IF(J180="","",J180-K180-M180-Settings!$B$9)</f>
        <v/>
      </c>
      <c r="O180" s="7">
        <f>IF(OR(H180="",H180=0),"",N180/H180)</f>
        <v/>
      </c>
      <c r="Q180" s="11" t="n"/>
    </row>
    <row r="181">
      <c r="A181" s="11" t="n"/>
      <c r="I181" s="7" t="n"/>
      <c r="J181" s="7">
        <f>IF(F181="","",F181*I181)</f>
        <v/>
      </c>
      <c r="K181" s="7">
        <f>IF(G181="","",G181*Settings!$B$5/1000*Settings!$B$6)</f>
        <v/>
      </c>
      <c r="L181" s="9" t="n"/>
      <c r="M181" s="7">
        <f>IF(J181="","",J181*L181)</f>
        <v/>
      </c>
      <c r="N181" s="7">
        <f>IF(J181="","",J181-K181-M181-Settings!$B$9)</f>
        <v/>
      </c>
      <c r="O181" s="7">
        <f>IF(OR(H181="",H181=0),"",N181/H181)</f>
        <v/>
      </c>
      <c r="Q181" s="11" t="n"/>
    </row>
    <row r="182">
      <c r="A182" s="11" t="n"/>
      <c r="I182" s="7" t="n"/>
      <c r="J182" s="7">
        <f>IF(F182="","",F182*I182)</f>
        <v/>
      </c>
      <c r="K182" s="7">
        <f>IF(G182="","",G182*Settings!$B$5/1000*Settings!$B$6)</f>
        <v/>
      </c>
      <c r="L182" s="9" t="n"/>
      <c r="M182" s="7">
        <f>IF(J182="","",J182*L182)</f>
        <v/>
      </c>
      <c r="N182" s="7">
        <f>IF(J182="","",J182-K182-M182-Settings!$B$9)</f>
        <v/>
      </c>
      <c r="O182" s="7">
        <f>IF(OR(H182="",H182=0),"",N182/H182)</f>
        <v/>
      </c>
      <c r="Q182" s="11" t="n"/>
    </row>
    <row r="183">
      <c r="A183" s="11" t="n"/>
      <c r="I183" s="7" t="n"/>
      <c r="J183" s="7">
        <f>IF(F183="","",F183*I183)</f>
        <v/>
      </c>
      <c r="K183" s="7">
        <f>IF(G183="","",G183*Settings!$B$5/1000*Settings!$B$6)</f>
        <v/>
      </c>
      <c r="L183" s="9" t="n"/>
      <c r="M183" s="7">
        <f>IF(J183="","",J183*L183)</f>
        <v/>
      </c>
      <c r="N183" s="7">
        <f>IF(J183="","",J183-K183-M183-Settings!$B$9)</f>
        <v/>
      </c>
      <c r="O183" s="7">
        <f>IF(OR(H183="",H183=0),"",N183/H183)</f>
        <v/>
      </c>
      <c r="Q183" s="11" t="n"/>
    </row>
    <row r="184">
      <c r="A184" s="11" t="n"/>
      <c r="I184" s="7" t="n"/>
      <c r="J184" s="7">
        <f>IF(F184="","",F184*I184)</f>
        <v/>
      </c>
      <c r="K184" s="7">
        <f>IF(G184="","",G184*Settings!$B$5/1000*Settings!$B$6)</f>
        <v/>
      </c>
      <c r="L184" s="9" t="n"/>
      <c r="M184" s="7">
        <f>IF(J184="","",J184*L184)</f>
        <v/>
      </c>
      <c r="N184" s="7">
        <f>IF(J184="","",J184-K184-M184-Settings!$B$9)</f>
        <v/>
      </c>
      <c r="O184" s="7">
        <f>IF(OR(H184="",H184=0),"",N184/H184)</f>
        <v/>
      </c>
      <c r="Q184" s="11" t="n"/>
    </row>
    <row r="185">
      <c r="A185" s="11" t="n"/>
      <c r="I185" s="7" t="n"/>
      <c r="J185" s="7">
        <f>IF(F185="","",F185*I185)</f>
        <v/>
      </c>
      <c r="K185" s="7">
        <f>IF(G185="","",G185*Settings!$B$5/1000*Settings!$B$6)</f>
        <v/>
      </c>
      <c r="L185" s="9" t="n"/>
      <c r="M185" s="7">
        <f>IF(J185="","",J185*L185)</f>
        <v/>
      </c>
      <c r="N185" s="7">
        <f>IF(J185="","",J185-K185-M185-Settings!$B$9)</f>
        <v/>
      </c>
      <c r="O185" s="7">
        <f>IF(OR(H185="",H185=0),"",N185/H185)</f>
        <v/>
      </c>
      <c r="Q185" s="11" t="n"/>
    </row>
    <row r="186">
      <c r="A186" s="11" t="n"/>
      <c r="I186" s="7" t="n"/>
      <c r="J186" s="7">
        <f>IF(F186="","",F186*I186)</f>
        <v/>
      </c>
      <c r="K186" s="7">
        <f>IF(G186="","",G186*Settings!$B$5/1000*Settings!$B$6)</f>
        <v/>
      </c>
      <c r="L186" s="9" t="n"/>
      <c r="M186" s="7">
        <f>IF(J186="","",J186*L186)</f>
        <v/>
      </c>
      <c r="N186" s="7">
        <f>IF(J186="","",J186-K186-M186-Settings!$B$9)</f>
        <v/>
      </c>
      <c r="O186" s="7">
        <f>IF(OR(H186="",H186=0),"",N186/H186)</f>
        <v/>
      </c>
      <c r="Q186" s="11" t="n"/>
    </row>
    <row r="187">
      <c r="A187" s="11" t="n"/>
      <c r="I187" s="7" t="n"/>
      <c r="J187" s="7">
        <f>IF(F187="","",F187*I187)</f>
        <v/>
      </c>
      <c r="K187" s="7">
        <f>IF(G187="","",G187*Settings!$B$5/1000*Settings!$B$6)</f>
        <v/>
      </c>
      <c r="L187" s="9" t="n"/>
      <c r="M187" s="7">
        <f>IF(J187="","",J187*L187)</f>
        <v/>
      </c>
      <c r="N187" s="7">
        <f>IF(J187="","",J187-K187-M187-Settings!$B$9)</f>
        <v/>
      </c>
      <c r="O187" s="7">
        <f>IF(OR(H187="",H187=0),"",N187/H187)</f>
        <v/>
      </c>
      <c r="Q187" s="11" t="n"/>
    </row>
    <row r="188">
      <c r="A188" s="11" t="n"/>
      <c r="I188" s="7" t="n"/>
      <c r="J188" s="7">
        <f>IF(F188="","",F188*I188)</f>
        <v/>
      </c>
      <c r="K188" s="7">
        <f>IF(G188="","",G188*Settings!$B$5/1000*Settings!$B$6)</f>
        <v/>
      </c>
      <c r="L188" s="9" t="n"/>
      <c r="M188" s="7">
        <f>IF(J188="","",J188*L188)</f>
        <v/>
      </c>
      <c r="N188" s="7">
        <f>IF(J188="","",J188-K188-M188-Settings!$B$9)</f>
        <v/>
      </c>
      <c r="O188" s="7">
        <f>IF(OR(H188="",H188=0),"",N188/H188)</f>
        <v/>
      </c>
      <c r="Q188" s="11" t="n"/>
    </row>
    <row r="189">
      <c r="A189" s="11" t="n"/>
      <c r="I189" s="7" t="n"/>
      <c r="J189" s="7">
        <f>IF(F189="","",F189*I189)</f>
        <v/>
      </c>
      <c r="K189" s="7">
        <f>IF(G189="","",G189*Settings!$B$5/1000*Settings!$B$6)</f>
        <v/>
      </c>
      <c r="L189" s="9" t="n"/>
      <c r="M189" s="7">
        <f>IF(J189="","",J189*L189)</f>
        <v/>
      </c>
      <c r="N189" s="7">
        <f>IF(J189="","",J189-K189-M189-Settings!$B$9)</f>
        <v/>
      </c>
      <c r="O189" s="7">
        <f>IF(OR(H189="",H189=0),"",N189/H189)</f>
        <v/>
      </c>
      <c r="Q189" s="11" t="n"/>
    </row>
    <row r="190">
      <c r="A190" s="11" t="n"/>
      <c r="I190" s="7" t="n"/>
      <c r="J190" s="7">
        <f>IF(F190="","",F190*I190)</f>
        <v/>
      </c>
      <c r="K190" s="7">
        <f>IF(G190="","",G190*Settings!$B$5/1000*Settings!$B$6)</f>
        <v/>
      </c>
      <c r="L190" s="9" t="n"/>
      <c r="M190" s="7">
        <f>IF(J190="","",J190*L190)</f>
        <v/>
      </c>
      <c r="N190" s="7">
        <f>IF(J190="","",J190-K190-M190-Settings!$B$9)</f>
        <v/>
      </c>
      <c r="O190" s="7">
        <f>IF(OR(H190="",H190=0),"",N190/H190)</f>
        <v/>
      </c>
      <c r="Q190" s="11" t="n"/>
    </row>
    <row r="191">
      <c r="A191" s="11" t="n"/>
      <c r="I191" s="7" t="n"/>
      <c r="J191" s="7">
        <f>IF(F191="","",F191*I191)</f>
        <v/>
      </c>
      <c r="K191" s="7">
        <f>IF(G191="","",G191*Settings!$B$5/1000*Settings!$B$6)</f>
        <v/>
      </c>
      <c r="L191" s="9" t="n"/>
      <c r="M191" s="7">
        <f>IF(J191="","",J191*L191)</f>
        <v/>
      </c>
      <c r="N191" s="7">
        <f>IF(J191="","",J191-K191-M191-Settings!$B$9)</f>
        <v/>
      </c>
      <c r="O191" s="7">
        <f>IF(OR(H191="",H191=0),"",N191/H191)</f>
        <v/>
      </c>
      <c r="Q191" s="11" t="n"/>
    </row>
    <row r="192">
      <c r="A192" s="11" t="n"/>
      <c r="I192" s="7" t="n"/>
      <c r="J192" s="7">
        <f>IF(F192="","",F192*I192)</f>
        <v/>
      </c>
      <c r="K192" s="7">
        <f>IF(G192="","",G192*Settings!$B$5/1000*Settings!$B$6)</f>
        <v/>
      </c>
      <c r="L192" s="9" t="n"/>
      <c r="M192" s="7">
        <f>IF(J192="","",J192*L192)</f>
        <v/>
      </c>
      <c r="N192" s="7">
        <f>IF(J192="","",J192-K192-M192-Settings!$B$9)</f>
        <v/>
      </c>
      <c r="O192" s="7">
        <f>IF(OR(H192="",H192=0),"",N192/H192)</f>
        <v/>
      </c>
      <c r="Q192" s="11" t="n"/>
    </row>
    <row r="193">
      <c r="A193" s="11" t="n"/>
      <c r="I193" s="7" t="n"/>
      <c r="J193" s="7">
        <f>IF(F193="","",F193*I193)</f>
        <v/>
      </c>
      <c r="K193" s="7">
        <f>IF(G193="","",G193*Settings!$B$5/1000*Settings!$B$6)</f>
        <v/>
      </c>
      <c r="L193" s="9" t="n"/>
      <c r="M193" s="7">
        <f>IF(J193="","",J193*L193)</f>
        <v/>
      </c>
      <c r="N193" s="7">
        <f>IF(J193="","",J193-K193-M193-Settings!$B$9)</f>
        <v/>
      </c>
      <c r="O193" s="7">
        <f>IF(OR(H193="",H193=0),"",N193/H193)</f>
        <v/>
      </c>
      <c r="Q193" s="11" t="n"/>
    </row>
    <row r="194">
      <c r="A194" s="11" t="n"/>
      <c r="I194" s="7" t="n"/>
      <c r="J194" s="7">
        <f>IF(F194="","",F194*I194)</f>
        <v/>
      </c>
      <c r="K194" s="7">
        <f>IF(G194="","",G194*Settings!$B$5/1000*Settings!$B$6)</f>
        <v/>
      </c>
      <c r="L194" s="9" t="n"/>
      <c r="M194" s="7">
        <f>IF(J194="","",J194*L194)</f>
        <v/>
      </c>
      <c r="N194" s="7">
        <f>IF(J194="","",J194-K194-M194-Settings!$B$9)</f>
        <v/>
      </c>
      <c r="O194" s="7">
        <f>IF(OR(H194="",H194=0),"",N194/H194)</f>
        <v/>
      </c>
      <c r="Q194" s="11" t="n"/>
    </row>
    <row r="195">
      <c r="A195" s="11" t="n"/>
      <c r="I195" s="7" t="n"/>
      <c r="J195" s="7">
        <f>IF(F195="","",F195*I195)</f>
        <v/>
      </c>
      <c r="K195" s="7">
        <f>IF(G195="","",G195*Settings!$B$5/1000*Settings!$B$6)</f>
        <v/>
      </c>
      <c r="L195" s="9" t="n"/>
      <c r="M195" s="7">
        <f>IF(J195="","",J195*L195)</f>
        <v/>
      </c>
      <c r="N195" s="7">
        <f>IF(J195="","",J195-K195-M195-Settings!$B$9)</f>
        <v/>
      </c>
      <c r="O195" s="7">
        <f>IF(OR(H195="",H195=0),"",N195/H195)</f>
        <v/>
      </c>
      <c r="Q195" s="11" t="n"/>
    </row>
    <row r="196">
      <c r="A196" s="11" t="n"/>
      <c r="I196" s="7" t="n"/>
      <c r="J196" s="7">
        <f>IF(F196="","",F196*I196)</f>
        <v/>
      </c>
      <c r="K196" s="7">
        <f>IF(G196="","",G196*Settings!$B$5/1000*Settings!$B$6)</f>
        <v/>
      </c>
      <c r="L196" s="9" t="n"/>
      <c r="M196" s="7">
        <f>IF(J196="","",J196*L196)</f>
        <v/>
      </c>
      <c r="N196" s="7">
        <f>IF(J196="","",J196-K196-M196-Settings!$B$9)</f>
        <v/>
      </c>
      <c r="O196" s="7">
        <f>IF(OR(H196="",H196=0),"",N196/H196)</f>
        <v/>
      </c>
      <c r="Q196" s="11" t="n"/>
    </row>
    <row r="197">
      <c r="A197" s="11" t="n"/>
      <c r="I197" s="7" t="n"/>
      <c r="J197" s="7">
        <f>IF(F197="","",F197*I197)</f>
        <v/>
      </c>
      <c r="K197" s="7">
        <f>IF(G197="","",G197*Settings!$B$5/1000*Settings!$B$6)</f>
        <v/>
      </c>
      <c r="L197" s="9" t="n"/>
      <c r="M197" s="7">
        <f>IF(J197="","",J197*L197)</f>
        <v/>
      </c>
      <c r="N197" s="7">
        <f>IF(J197="","",J197-K197-M197-Settings!$B$9)</f>
        <v/>
      </c>
      <c r="O197" s="7">
        <f>IF(OR(H197="",H197=0),"",N197/H197)</f>
        <v/>
      </c>
      <c r="Q197" s="11" t="n"/>
    </row>
    <row r="198">
      <c r="A198" s="11" t="n"/>
      <c r="I198" s="7" t="n"/>
      <c r="J198" s="7">
        <f>IF(F198="","",F198*I198)</f>
        <v/>
      </c>
      <c r="K198" s="7">
        <f>IF(G198="","",G198*Settings!$B$5/1000*Settings!$B$6)</f>
        <v/>
      </c>
      <c r="L198" s="9" t="n"/>
      <c r="M198" s="7">
        <f>IF(J198="","",J198*L198)</f>
        <v/>
      </c>
      <c r="N198" s="7">
        <f>IF(J198="","",J198-K198-M198-Settings!$B$9)</f>
        <v/>
      </c>
      <c r="O198" s="7">
        <f>IF(OR(H198="",H198=0),"",N198/H198)</f>
        <v/>
      </c>
      <c r="Q198" s="11" t="n"/>
    </row>
    <row r="199">
      <c r="A199" s="11" t="n"/>
      <c r="I199" s="7" t="n"/>
      <c r="J199" s="7">
        <f>IF(F199="","",F199*I199)</f>
        <v/>
      </c>
      <c r="K199" s="7">
        <f>IF(G199="","",G199*Settings!$B$5/1000*Settings!$B$6)</f>
        <v/>
      </c>
      <c r="L199" s="9" t="n"/>
      <c r="M199" s="7">
        <f>IF(J199="","",J199*L199)</f>
        <v/>
      </c>
      <c r="N199" s="7">
        <f>IF(J199="","",J199-K199-M199-Settings!$B$9)</f>
        <v/>
      </c>
      <c r="O199" s="7">
        <f>IF(OR(H199="",H199=0),"",N199/H199)</f>
        <v/>
      </c>
      <c r="Q199" s="11" t="n"/>
    </row>
    <row r="200">
      <c r="A200" s="11" t="n"/>
      <c r="I200" s="7" t="n"/>
      <c r="J200" s="7">
        <f>IF(F200="","",F200*I200)</f>
        <v/>
      </c>
      <c r="K200" s="7">
        <f>IF(G200="","",G200*Settings!$B$5/1000*Settings!$B$6)</f>
        <v/>
      </c>
      <c r="L200" s="9" t="n"/>
      <c r="M200" s="7">
        <f>IF(J200="","",J200*L200)</f>
        <v/>
      </c>
      <c r="N200" s="7">
        <f>IF(J200="","",J200-K200-M200-Settings!$B$9)</f>
        <v/>
      </c>
      <c r="O200" s="7">
        <f>IF(OR(H200="",H200=0),"",N200/H200)</f>
        <v/>
      </c>
      <c r="Q200" s="11" t="n"/>
    </row>
    <row r="201">
      <c r="A201" s="11" t="n"/>
      <c r="I201" s="7" t="n"/>
      <c r="J201" s="7">
        <f>IF(F201="","",F201*I201)</f>
        <v/>
      </c>
      <c r="K201" s="7">
        <f>IF(G201="","",G201*Settings!$B$5/1000*Settings!$B$6)</f>
        <v/>
      </c>
      <c r="L201" s="9" t="n"/>
      <c r="M201" s="7">
        <f>IF(J201="","",J201*L201)</f>
        <v/>
      </c>
      <c r="N201" s="7">
        <f>IF(J201="","",J201-K201-M201-Settings!$B$9)</f>
        <v/>
      </c>
      <c r="O201" s="7">
        <f>IF(OR(H201="",H201=0),"",N201/H201)</f>
        <v/>
      </c>
      <c r="Q201" s="11" t="n"/>
    </row>
    <row r="202">
      <c r="A202" s="11" t="n"/>
      <c r="I202" s="7" t="n"/>
      <c r="J202" s="7">
        <f>IF(F202="","",F202*I202)</f>
        <v/>
      </c>
      <c r="K202" s="7">
        <f>IF(G202="","",G202*Settings!$B$5/1000*Settings!$B$6)</f>
        <v/>
      </c>
      <c r="L202" s="9" t="n"/>
      <c r="M202" s="7">
        <f>IF(J202="","",J202*L202)</f>
        <v/>
      </c>
      <c r="N202" s="7">
        <f>IF(J202="","",J202-K202-M202-Settings!$B$9)</f>
        <v/>
      </c>
      <c r="O202" s="7">
        <f>IF(OR(H202="",H202=0),"",N202/H202)</f>
        <v/>
      </c>
      <c r="Q202" s="11" t="n"/>
    </row>
    <row r="203">
      <c r="A203" s="11" t="n"/>
      <c r="I203" s="7" t="n"/>
      <c r="J203" s="7">
        <f>IF(F203="","",F203*I203)</f>
        <v/>
      </c>
      <c r="K203" s="7">
        <f>IF(G203="","",G203*Settings!$B$5/1000*Settings!$B$6)</f>
        <v/>
      </c>
      <c r="L203" s="9" t="n"/>
      <c r="M203" s="7">
        <f>IF(J203="","",J203*L203)</f>
        <v/>
      </c>
      <c r="N203" s="7">
        <f>IF(J203="","",J203-K203-M203-Settings!$B$9)</f>
        <v/>
      </c>
      <c r="O203" s="7">
        <f>IF(OR(H203="",H203=0),"",N203/H203)</f>
        <v/>
      </c>
      <c r="Q203" s="11" t="n"/>
    </row>
    <row r="204">
      <c r="A204" s="11" t="n"/>
      <c r="I204" s="7" t="n"/>
      <c r="J204" s="7">
        <f>IF(F204="","",F204*I204)</f>
        <v/>
      </c>
      <c r="K204" s="7">
        <f>IF(G204="","",G204*Settings!$B$5/1000*Settings!$B$6)</f>
        <v/>
      </c>
      <c r="L204" s="9" t="n"/>
      <c r="M204" s="7">
        <f>IF(J204="","",J204*L204)</f>
        <v/>
      </c>
      <c r="N204" s="7">
        <f>IF(J204="","",J204-K204-M204-Settings!$B$9)</f>
        <v/>
      </c>
      <c r="O204" s="7">
        <f>IF(OR(H204="",H204=0),"",N204/H204)</f>
        <v/>
      </c>
      <c r="Q204" s="11" t="n"/>
    </row>
    <row r="205">
      <c r="A205" s="11" t="n"/>
      <c r="I205" s="7" t="n"/>
      <c r="J205" s="7">
        <f>IF(F205="","",F205*I205)</f>
        <v/>
      </c>
      <c r="K205" s="7">
        <f>IF(G205="","",G205*Settings!$B$5/1000*Settings!$B$6)</f>
        <v/>
      </c>
      <c r="L205" s="9" t="n"/>
      <c r="M205" s="7">
        <f>IF(J205="","",J205*L205)</f>
        <v/>
      </c>
      <c r="N205" s="7">
        <f>IF(J205="","",J205-K205-M205-Settings!$B$9)</f>
        <v/>
      </c>
      <c r="O205" s="7">
        <f>IF(OR(H205="",H205=0),"",N205/H205)</f>
        <v/>
      </c>
      <c r="Q205" s="11" t="n"/>
    </row>
    <row r="206">
      <c r="A206" s="11" t="n"/>
      <c r="I206" s="7" t="n"/>
      <c r="J206" s="7">
        <f>IF(F206="","",F206*I206)</f>
        <v/>
      </c>
      <c r="K206" s="7">
        <f>IF(G206="","",G206*Settings!$B$5/1000*Settings!$B$6)</f>
        <v/>
      </c>
      <c r="L206" s="9" t="n"/>
      <c r="M206" s="7">
        <f>IF(J206="","",J206*L206)</f>
        <v/>
      </c>
      <c r="N206" s="7">
        <f>IF(J206="","",J206-K206-M206-Settings!$B$9)</f>
        <v/>
      </c>
      <c r="O206" s="7">
        <f>IF(OR(H206="",H206=0),"",N206/H206)</f>
        <v/>
      </c>
      <c r="Q206" s="11" t="n"/>
    </row>
    <row r="207">
      <c r="A207" s="11" t="n"/>
      <c r="I207" s="7" t="n"/>
      <c r="J207" s="7">
        <f>IF(F207="","",F207*I207)</f>
        <v/>
      </c>
      <c r="K207" s="7">
        <f>IF(G207="","",G207*Settings!$B$5/1000*Settings!$B$6)</f>
        <v/>
      </c>
      <c r="L207" s="9" t="n"/>
      <c r="M207" s="7">
        <f>IF(J207="","",J207*L207)</f>
        <v/>
      </c>
      <c r="N207" s="7">
        <f>IF(J207="","",J207-K207-M207-Settings!$B$9)</f>
        <v/>
      </c>
      <c r="O207" s="7">
        <f>IF(OR(H207="",H207=0),"",N207/H207)</f>
        <v/>
      </c>
      <c r="Q207" s="11" t="n"/>
    </row>
    <row r="208">
      <c r="A208" s="11" t="n"/>
      <c r="I208" s="7" t="n"/>
      <c r="J208" s="7">
        <f>IF(F208="","",F208*I208)</f>
        <v/>
      </c>
      <c r="K208" s="7">
        <f>IF(G208="","",G208*Settings!$B$5/1000*Settings!$B$6)</f>
        <v/>
      </c>
      <c r="L208" s="9" t="n"/>
      <c r="M208" s="7">
        <f>IF(J208="","",J208*L208)</f>
        <v/>
      </c>
      <c r="N208" s="7">
        <f>IF(J208="","",J208-K208-M208-Settings!$B$9)</f>
        <v/>
      </c>
      <c r="O208" s="7">
        <f>IF(OR(H208="",H208=0),"",N208/H208)</f>
        <v/>
      </c>
      <c r="Q208" s="11" t="n"/>
    </row>
    <row r="209">
      <c r="A209" s="11" t="n"/>
      <c r="I209" s="7" t="n"/>
      <c r="J209" s="7">
        <f>IF(F209="","",F209*I209)</f>
        <v/>
      </c>
      <c r="K209" s="7">
        <f>IF(G209="","",G209*Settings!$B$5/1000*Settings!$B$6)</f>
        <v/>
      </c>
      <c r="L209" s="9" t="n"/>
      <c r="M209" s="7">
        <f>IF(J209="","",J209*L209)</f>
        <v/>
      </c>
      <c r="N209" s="7">
        <f>IF(J209="","",J209-K209-M209-Settings!$B$9)</f>
        <v/>
      </c>
      <c r="O209" s="7">
        <f>IF(OR(H209="",H209=0),"",N209/H209)</f>
        <v/>
      </c>
      <c r="Q209" s="11" t="n"/>
    </row>
    <row r="210">
      <c r="A210" s="11" t="n"/>
      <c r="I210" s="7" t="n"/>
      <c r="J210" s="7">
        <f>IF(F210="","",F210*I210)</f>
        <v/>
      </c>
      <c r="K210" s="7">
        <f>IF(G210="","",G210*Settings!$B$5/1000*Settings!$B$6)</f>
        <v/>
      </c>
      <c r="L210" s="9" t="n"/>
      <c r="M210" s="7">
        <f>IF(J210="","",J210*L210)</f>
        <v/>
      </c>
      <c r="N210" s="7">
        <f>IF(J210="","",J210-K210-M210-Settings!$B$9)</f>
        <v/>
      </c>
      <c r="O210" s="7">
        <f>IF(OR(H210="",H210=0),"",N210/H210)</f>
        <v/>
      </c>
      <c r="Q210" s="11" t="n"/>
    </row>
    <row r="211">
      <c r="A211" s="11" t="n"/>
      <c r="I211" s="7" t="n"/>
      <c r="J211" s="7">
        <f>IF(F211="","",F211*I211)</f>
        <v/>
      </c>
      <c r="K211" s="7">
        <f>IF(G211="","",G211*Settings!$B$5/1000*Settings!$B$6)</f>
        <v/>
      </c>
      <c r="L211" s="9" t="n"/>
      <c r="M211" s="7">
        <f>IF(J211="","",J211*L211)</f>
        <v/>
      </c>
      <c r="N211" s="7">
        <f>IF(J211="","",J211-K211-M211-Settings!$B$9)</f>
        <v/>
      </c>
      <c r="O211" s="7">
        <f>IF(OR(H211="",H211=0),"",N211/H211)</f>
        <v/>
      </c>
      <c r="Q211" s="11" t="n"/>
    </row>
    <row r="212">
      <c r="A212" s="11" t="n"/>
      <c r="I212" s="7" t="n"/>
      <c r="J212" s="7">
        <f>IF(F212="","",F212*I212)</f>
        <v/>
      </c>
      <c r="K212" s="7">
        <f>IF(G212="","",G212*Settings!$B$5/1000*Settings!$B$6)</f>
        <v/>
      </c>
      <c r="L212" s="9" t="n"/>
      <c r="M212" s="7">
        <f>IF(J212="","",J212*L212)</f>
        <v/>
      </c>
      <c r="N212" s="7">
        <f>IF(J212="","",J212-K212-M212-Settings!$B$9)</f>
        <v/>
      </c>
      <c r="O212" s="7">
        <f>IF(OR(H212="",H212=0),"",N212/H212)</f>
        <v/>
      </c>
      <c r="Q212" s="11" t="n"/>
    </row>
    <row r="213">
      <c r="A213" s="11" t="n"/>
      <c r="I213" s="7" t="n"/>
      <c r="J213" s="7">
        <f>IF(F213="","",F213*I213)</f>
        <v/>
      </c>
      <c r="K213" s="7">
        <f>IF(G213="","",G213*Settings!$B$5/1000*Settings!$B$6)</f>
        <v/>
      </c>
      <c r="L213" s="9" t="n"/>
      <c r="M213" s="7">
        <f>IF(J213="","",J213*L213)</f>
        <v/>
      </c>
      <c r="N213" s="7">
        <f>IF(J213="","",J213-K213-M213-Settings!$B$9)</f>
        <v/>
      </c>
      <c r="O213" s="7">
        <f>IF(OR(H213="",H213=0),"",N213/H213)</f>
        <v/>
      </c>
      <c r="Q213" s="11" t="n"/>
    </row>
    <row r="214">
      <c r="A214" s="11" t="n"/>
      <c r="I214" s="7" t="n"/>
      <c r="J214" s="7">
        <f>IF(F214="","",F214*I214)</f>
        <v/>
      </c>
      <c r="K214" s="7">
        <f>IF(G214="","",G214*Settings!$B$5/1000*Settings!$B$6)</f>
        <v/>
      </c>
      <c r="L214" s="9" t="n"/>
      <c r="M214" s="7">
        <f>IF(J214="","",J214*L214)</f>
        <v/>
      </c>
      <c r="N214" s="7">
        <f>IF(J214="","",J214-K214-M214-Settings!$B$9)</f>
        <v/>
      </c>
      <c r="O214" s="7">
        <f>IF(OR(H214="",H214=0),"",N214/H214)</f>
        <v/>
      </c>
      <c r="Q214" s="11" t="n"/>
    </row>
    <row r="215">
      <c r="A215" s="11" t="n"/>
      <c r="I215" s="7" t="n"/>
      <c r="J215" s="7">
        <f>IF(F215="","",F215*I215)</f>
        <v/>
      </c>
      <c r="K215" s="7">
        <f>IF(G215="","",G215*Settings!$B$5/1000*Settings!$B$6)</f>
        <v/>
      </c>
      <c r="L215" s="9" t="n"/>
      <c r="M215" s="7">
        <f>IF(J215="","",J215*L215)</f>
        <v/>
      </c>
      <c r="N215" s="7">
        <f>IF(J215="","",J215-K215-M215-Settings!$B$9)</f>
        <v/>
      </c>
      <c r="O215" s="7">
        <f>IF(OR(H215="",H215=0),"",N215/H215)</f>
        <v/>
      </c>
      <c r="Q215" s="11" t="n"/>
    </row>
    <row r="216">
      <c r="A216" s="11" t="n"/>
      <c r="I216" s="7" t="n"/>
      <c r="J216" s="7">
        <f>IF(F216="","",F216*I216)</f>
        <v/>
      </c>
      <c r="K216" s="7">
        <f>IF(G216="","",G216*Settings!$B$5/1000*Settings!$B$6)</f>
        <v/>
      </c>
      <c r="L216" s="9" t="n"/>
      <c r="M216" s="7">
        <f>IF(J216="","",J216*L216)</f>
        <v/>
      </c>
      <c r="N216" s="7">
        <f>IF(J216="","",J216-K216-M216-Settings!$B$9)</f>
        <v/>
      </c>
      <c r="O216" s="7">
        <f>IF(OR(H216="",H216=0),"",N216/H216)</f>
        <v/>
      </c>
      <c r="Q216" s="11" t="n"/>
    </row>
    <row r="217">
      <c r="A217" s="11" t="n"/>
      <c r="I217" s="7" t="n"/>
      <c r="J217" s="7">
        <f>IF(F217="","",F217*I217)</f>
        <v/>
      </c>
      <c r="K217" s="7">
        <f>IF(G217="","",G217*Settings!$B$5/1000*Settings!$B$6)</f>
        <v/>
      </c>
      <c r="L217" s="9" t="n"/>
      <c r="M217" s="7">
        <f>IF(J217="","",J217*L217)</f>
        <v/>
      </c>
      <c r="N217" s="7">
        <f>IF(J217="","",J217-K217-M217-Settings!$B$9)</f>
        <v/>
      </c>
      <c r="O217" s="7">
        <f>IF(OR(H217="",H217=0),"",N217/H217)</f>
        <v/>
      </c>
      <c r="Q217" s="11" t="n"/>
    </row>
    <row r="218">
      <c r="A218" s="11" t="n"/>
      <c r="I218" s="7" t="n"/>
      <c r="J218" s="7">
        <f>IF(F218="","",F218*I218)</f>
        <v/>
      </c>
      <c r="K218" s="7">
        <f>IF(G218="","",G218*Settings!$B$5/1000*Settings!$B$6)</f>
        <v/>
      </c>
      <c r="L218" s="9" t="n"/>
      <c r="M218" s="7">
        <f>IF(J218="","",J218*L218)</f>
        <v/>
      </c>
      <c r="N218" s="7">
        <f>IF(J218="","",J218-K218-M218-Settings!$B$9)</f>
        <v/>
      </c>
      <c r="O218" s="7">
        <f>IF(OR(H218="",H218=0),"",N218/H218)</f>
        <v/>
      </c>
      <c r="Q218" s="11" t="n"/>
    </row>
    <row r="219">
      <c r="A219" s="11" t="n"/>
      <c r="I219" s="7" t="n"/>
      <c r="J219" s="7">
        <f>IF(F219="","",F219*I219)</f>
        <v/>
      </c>
      <c r="K219" s="7">
        <f>IF(G219="","",G219*Settings!$B$5/1000*Settings!$B$6)</f>
        <v/>
      </c>
      <c r="L219" s="9" t="n"/>
      <c r="M219" s="7">
        <f>IF(J219="","",J219*L219)</f>
        <v/>
      </c>
      <c r="N219" s="7">
        <f>IF(J219="","",J219-K219-M219-Settings!$B$9)</f>
        <v/>
      </c>
      <c r="O219" s="7">
        <f>IF(OR(H219="",H219=0),"",N219/H219)</f>
        <v/>
      </c>
      <c r="Q219" s="11" t="n"/>
    </row>
    <row r="220">
      <c r="A220" s="11" t="n"/>
      <c r="I220" s="7" t="n"/>
      <c r="J220" s="7">
        <f>IF(F220="","",F220*I220)</f>
        <v/>
      </c>
      <c r="K220" s="7">
        <f>IF(G220="","",G220*Settings!$B$5/1000*Settings!$B$6)</f>
        <v/>
      </c>
      <c r="L220" s="9" t="n"/>
      <c r="M220" s="7">
        <f>IF(J220="","",J220*L220)</f>
        <v/>
      </c>
      <c r="N220" s="7">
        <f>IF(J220="","",J220-K220-M220-Settings!$B$9)</f>
        <v/>
      </c>
      <c r="O220" s="7">
        <f>IF(OR(H220="",H220=0),"",N220/H220)</f>
        <v/>
      </c>
      <c r="Q220" s="11" t="n"/>
    </row>
    <row r="221">
      <c r="A221" s="11" t="n"/>
      <c r="I221" s="7" t="n"/>
      <c r="J221" s="7">
        <f>IF(F221="","",F221*I221)</f>
        <v/>
      </c>
      <c r="K221" s="7">
        <f>IF(G221="","",G221*Settings!$B$5/1000*Settings!$B$6)</f>
        <v/>
      </c>
      <c r="L221" s="9" t="n"/>
      <c r="M221" s="7">
        <f>IF(J221="","",J221*L221)</f>
        <v/>
      </c>
      <c r="N221" s="7">
        <f>IF(J221="","",J221-K221-M221-Settings!$B$9)</f>
        <v/>
      </c>
      <c r="O221" s="7">
        <f>IF(OR(H221="",H221=0),"",N221/H221)</f>
        <v/>
      </c>
      <c r="Q221" s="11" t="n"/>
    </row>
    <row r="222">
      <c r="A222" s="11" t="n"/>
      <c r="I222" s="7" t="n"/>
      <c r="J222" s="7">
        <f>IF(F222="","",F222*I222)</f>
        <v/>
      </c>
      <c r="K222" s="7">
        <f>IF(G222="","",G222*Settings!$B$5/1000*Settings!$B$6)</f>
        <v/>
      </c>
      <c r="L222" s="9" t="n"/>
      <c r="M222" s="7">
        <f>IF(J222="","",J222*L222)</f>
        <v/>
      </c>
      <c r="N222" s="7">
        <f>IF(J222="","",J222-K222-M222-Settings!$B$9)</f>
        <v/>
      </c>
      <c r="O222" s="7">
        <f>IF(OR(H222="",H222=0),"",N222/H222)</f>
        <v/>
      </c>
      <c r="Q222" s="11" t="n"/>
    </row>
    <row r="223">
      <c r="A223" s="11" t="n"/>
      <c r="I223" s="7" t="n"/>
      <c r="J223" s="7">
        <f>IF(F223="","",F223*I223)</f>
        <v/>
      </c>
      <c r="K223" s="7">
        <f>IF(G223="","",G223*Settings!$B$5/1000*Settings!$B$6)</f>
        <v/>
      </c>
      <c r="L223" s="9" t="n"/>
      <c r="M223" s="7">
        <f>IF(J223="","",J223*L223)</f>
        <v/>
      </c>
      <c r="N223" s="7">
        <f>IF(J223="","",J223-K223-M223-Settings!$B$9)</f>
        <v/>
      </c>
      <c r="O223" s="7">
        <f>IF(OR(H223="",H223=0),"",N223/H223)</f>
        <v/>
      </c>
      <c r="Q223" s="11" t="n"/>
    </row>
    <row r="224">
      <c r="A224" s="11" t="n"/>
      <c r="I224" s="7" t="n"/>
      <c r="J224" s="7">
        <f>IF(F224="","",F224*I224)</f>
        <v/>
      </c>
      <c r="K224" s="7">
        <f>IF(G224="","",G224*Settings!$B$5/1000*Settings!$B$6)</f>
        <v/>
      </c>
      <c r="L224" s="9" t="n"/>
      <c r="M224" s="7">
        <f>IF(J224="","",J224*L224)</f>
        <v/>
      </c>
      <c r="N224" s="7">
        <f>IF(J224="","",J224-K224-M224-Settings!$B$9)</f>
        <v/>
      </c>
      <c r="O224" s="7">
        <f>IF(OR(H224="",H224=0),"",N224/H224)</f>
        <v/>
      </c>
      <c r="Q224" s="11" t="n"/>
    </row>
    <row r="225">
      <c r="A225" s="11" t="n"/>
      <c r="I225" s="7" t="n"/>
      <c r="J225" s="7">
        <f>IF(F225="","",F225*I225)</f>
        <v/>
      </c>
      <c r="K225" s="7">
        <f>IF(G225="","",G225*Settings!$B$5/1000*Settings!$B$6)</f>
        <v/>
      </c>
      <c r="L225" s="9" t="n"/>
      <c r="M225" s="7">
        <f>IF(J225="","",J225*L225)</f>
        <v/>
      </c>
      <c r="N225" s="7">
        <f>IF(J225="","",J225-K225-M225-Settings!$B$9)</f>
        <v/>
      </c>
      <c r="O225" s="7">
        <f>IF(OR(H225="",H225=0),"",N225/H225)</f>
        <v/>
      </c>
      <c r="Q225" s="11" t="n"/>
    </row>
    <row r="226">
      <c r="A226" s="11" t="n"/>
      <c r="I226" s="7" t="n"/>
      <c r="J226" s="7">
        <f>IF(F226="","",F226*I226)</f>
        <v/>
      </c>
      <c r="K226" s="7">
        <f>IF(G226="","",G226*Settings!$B$5/1000*Settings!$B$6)</f>
        <v/>
      </c>
      <c r="L226" s="9" t="n"/>
      <c r="M226" s="7">
        <f>IF(J226="","",J226*L226)</f>
        <v/>
      </c>
      <c r="N226" s="7">
        <f>IF(J226="","",J226-K226-M226-Settings!$B$9)</f>
        <v/>
      </c>
      <c r="O226" s="7">
        <f>IF(OR(H226="",H226=0),"",N226/H226)</f>
        <v/>
      </c>
      <c r="Q226" s="11" t="n"/>
    </row>
    <row r="227">
      <c r="A227" s="11" t="n"/>
      <c r="I227" s="7" t="n"/>
      <c r="J227" s="7">
        <f>IF(F227="","",F227*I227)</f>
        <v/>
      </c>
      <c r="K227" s="7">
        <f>IF(G227="","",G227*Settings!$B$5/1000*Settings!$B$6)</f>
        <v/>
      </c>
      <c r="L227" s="9" t="n"/>
      <c r="M227" s="7">
        <f>IF(J227="","",J227*L227)</f>
        <v/>
      </c>
      <c r="N227" s="7">
        <f>IF(J227="","",J227-K227-M227-Settings!$B$9)</f>
        <v/>
      </c>
      <c r="O227" s="7">
        <f>IF(OR(H227="",H227=0),"",N227/H227)</f>
        <v/>
      </c>
      <c r="Q227" s="11" t="n"/>
    </row>
    <row r="228">
      <c r="A228" s="11" t="n"/>
      <c r="I228" s="7" t="n"/>
      <c r="J228" s="7">
        <f>IF(F228="","",F228*I228)</f>
        <v/>
      </c>
      <c r="K228" s="7">
        <f>IF(G228="","",G228*Settings!$B$5/1000*Settings!$B$6)</f>
        <v/>
      </c>
      <c r="L228" s="9" t="n"/>
      <c r="M228" s="7">
        <f>IF(J228="","",J228*L228)</f>
        <v/>
      </c>
      <c r="N228" s="7">
        <f>IF(J228="","",J228-K228-M228-Settings!$B$9)</f>
        <v/>
      </c>
      <c r="O228" s="7">
        <f>IF(OR(H228="",H228=0),"",N228/H228)</f>
        <v/>
      </c>
      <c r="Q228" s="11" t="n"/>
    </row>
    <row r="229">
      <c r="A229" s="11" t="n"/>
      <c r="I229" s="7" t="n"/>
      <c r="J229" s="7">
        <f>IF(F229="","",F229*I229)</f>
        <v/>
      </c>
      <c r="K229" s="7">
        <f>IF(G229="","",G229*Settings!$B$5/1000*Settings!$B$6)</f>
        <v/>
      </c>
      <c r="L229" s="9" t="n"/>
      <c r="M229" s="7">
        <f>IF(J229="","",J229*L229)</f>
        <v/>
      </c>
      <c r="N229" s="7">
        <f>IF(J229="","",J229-K229-M229-Settings!$B$9)</f>
        <v/>
      </c>
      <c r="O229" s="7">
        <f>IF(OR(H229="",H229=0),"",N229/H229)</f>
        <v/>
      </c>
      <c r="Q229" s="11" t="n"/>
    </row>
    <row r="230">
      <c r="A230" s="11" t="n"/>
      <c r="I230" s="7" t="n"/>
      <c r="J230" s="7">
        <f>IF(F230="","",F230*I230)</f>
        <v/>
      </c>
      <c r="K230" s="7">
        <f>IF(G230="","",G230*Settings!$B$5/1000*Settings!$B$6)</f>
        <v/>
      </c>
      <c r="L230" s="9" t="n"/>
      <c r="M230" s="7">
        <f>IF(J230="","",J230*L230)</f>
        <v/>
      </c>
      <c r="N230" s="7">
        <f>IF(J230="","",J230-K230-M230-Settings!$B$9)</f>
        <v/>
      </c>
      <c r="O230" s="7">
        <f>IF(OR(H230="",H230=0),"",N230/H230)</f>
        <v/>
      </c>
      <c r="Q230" s="11" t="n"/>
    </row>
    <row r="231">
      <c r="A231" s="11" t="n"/>
      <c r="I231" s="7" t="n"/>
      <c r="J231" s="7">
        <f>IF(F231="","",F231*I231)</f>
        <v/>
      </c>
      <c r="K231" s="7">
        <f>IF(G231="","",G231*Settings!$B$5/1000*Settings!$B$6)</f>
        <v/>
      </c>
      <c r="L231" s="9" t="n"/>
      <c r="M231" s="7">
        <f>IF(J231="","",J231*L231)</f>
        <v/>
      </c>
      <c r="N231" s="7">
        <f>IF(J231="","",J231-K231-M231-Settings!$B$9)</f>
        <v/>
      </c>
      <c r="O231" s="7">
        <f>IF(OR(H231="",H231=0),"",N231/H231)</f>
        <v/>
      </c>
      <c r="Q231" s="11" t="n"/>
    </row>
    <row r="232">
      <c r="A232" s="11" t="n"/>
      <c r="I232" s="7" t="n"/>
      <c r="J232" s="7">
        <f>IF(F232="","",F232*I232)</f>
        <v/>
      </c>
      <c r="K232" s="7">
        <f>IF(G232="","",G232*Settings!$B$5/1000*Settings!$B$6)</f>
        <v/>
      </c>
      <c r="L232" s="9" t="n"/>
      <c r="M232" s="7">
        <f>IF(J232="","",J232*L232)</f>
        <v/>
      </c>
      <c r="N232" s="7">
        <f>IF(J232="","",J232-K232-M232-Settings!$B$9)</f>
        <v/>
      </c>
      <c r="O232" s="7">
        <f>IF(OR(H232="",H232=0),"",N232/H232)</f>
        <v/>
      </c>
      <c r="Q232" s="11" t="n"/>
    </row>
    <row r="233">
      <c r="A233" s="11" t="n"/>
      <c r="I233" s="7" t="n"/>
      <c r="J233" s="7">
        <f>IF(F233="","",F233*I233)</f>
        <v/>
      </c>
      <c r="K233" s="7">
        <f>IF(G233="","",G233*Settings!$B$5/1000*Settings!$B$6)</f>
        <v/>
      </c>
      <c r="L233" s="9" t="n"/>
      <c r="M233" s="7">
        <f>IF(J233="","",J233*L233)</f>
        <v/>
      </c>
      <c r="N233" s="7">
        <f>IF(J233="","",J233-K233-M233-Settings!$B$9)</f>
        <v/>
      </c>
      <c r="O233" s="7">
        <f>IF(OR(H233="",H233=0),"",N233/H233)</f>
        <v/>
      </c>
      <c r="Q233" s="11" t="n"/>
    </row>
    <row r="234">
      <c r="A234" s="11" t="n"/>
      <c r="I234" s="7" t="n"/>
      <c r="J234" s="7">
        <f>IF(F234="","",F234*I234)</f>
        <v/>
      </c>
      <c r="K234" s="7">
        <f>IF(G234="","",G234*Settings!$B$5/1000*Settings!$B$6)</f>
        <v/>
      </c>
      <c r="L234" s="9" t="n"/>
      <c r="M234" s="7">
        <f>IF(J234="","",J234*L234)</f>
        <v/>
      </c>
      <c r="N234" s="7">
        <f>IF(J234="","",J234-K234-M234-Settings!$B$9)</f>
        <v/>
      </c>
      <c r="O234" s="7">
        <f>IF(OR(H234="",H234=0),"",N234/H234)</f>
        <v/>
      </c>
      <c r="Q234" s="11" t="n"/>
    </row>
    <row r="235">
      <c r="A235" s="11" t="n"/>
      <c r="I235" s="7" t="n"/>
      <c r="J235" s="7">
        <f>IF(F235="","",F235*I235)</f>
        <v/>
      </c>
      <c r="K235" s="7">
        <f>IF(G235="","",G235*Settings!$B$5/1000*Settings!$B$6)</f>
        <v/>
      </c>
      <c r="L235" s="9" t="n"/>
      <c r="M235" s="7">
        <f>IF(J235="","",J235*L235)</f>
        <v/>
      </c>
      <c r="N235" s="7">
        <f>IF(J235="","",J235-K235-M235-Settings!$B$9)</f>
        <v/>
      </c>
      <c r="O235" s="7">
        <f>IF(OR(H235="",H235=0),"",N235/H235)</f>
        <v/>
      </c>
      <c r="Q235" s="11" t="n"/>
    </row>
    <row r="236">
      <c r="A236" s="11" t="n"/>
      <c r="I236" s="7" t="n"/>
      <c r="J236" s="7">
        <f>IF(F236="","",F236*I236)</f>
        <v/>
      </c>
      <c r="K236" s="7">
        <f>IF(G236="","",G236*Settings!$B$5/1000*Settings!$B$6)</f>
        <v/>
      </c>
      <c r="L236" s="9" t="n"/>
      <c r="M236" s="7">
        <f>IF(J236="","",J236*L236)</f>
        <v/>
      </c>
      <c r="N236" s="7">
        <f>IF(J236="","",J236-K236-M236-Settings!$B$9)</f>
        <v/>
      </c>
      <c r="O236" s="7">
        <f>IF(OR(H236="",H236=0),"",N236/H236)</f>
        <v/>
      </c>
      <c r="Q236" s="11" t="n"/>
    </row>
    <row r="237">
      <c r="A237" s="11" t="n"/>
      <c r="I237" s="7" t="n"/>
      <c r="J237" s="7">
        <f>IF(F237="","",F237*I237)</f>
        <v/>
      </c>
      <c r="K237" s="7">
        <f>IF(G237="","",G237*Settings!$B$5/1000*Settings!$B$6)</f>
        <v/>
      </c>
      <c r="L237" s="9" t="n"/>
      <c r="M237" s="7">
        <f>IF(J237="","",J237*L237)</f>
        <v/>
      </c>
      <c r="N237" s="7">
        <f>IF(J237="","",J237-K237-M237-Settings!$B$9)</f>
        <v/>
      </c>
      <c r="O237" s="7">
        <f>IF(OR(H237="",H237=0),"",N237/H237)</f>
        <v/>
      </c>
      <c r="Q237" s="11" t="n"/>
    </row>
    <row r="238">
      <c r="A238" s="11" t="n"/>
      <c r="I238" s="7" t="n"/>
      <c r="J238" s="7">
        <f>IF(F238="","",F238*I238)</f>
        <v/>
      </c>
      <c r="K238" s="7">
        <f>IF(G238="","",G238*Settings!$B$5/1000*Settings!$B$6)</f>
        <v/>
      </c>
      <c r="L238" s="9" t="n"/>
      <c r="M238" s="7">
        <f>IF(J238="","",J238*L238)</f>
        <v/>
      </c>
      <c r="N238" s="7">
        <f>IF(J238="","",J238-K238-M238-Settings!$B$9)</f>
        <v/>
      </c>
      <c r="O238" s="7">
        <f>IF(OR(H238="",H238=0),"",N238/H238)</f>
        <v/>
      </c>
      <c r="Q238" s="11" t="n"/>
    </row>
    <row r="239">
      <c r="A239" s="11" t="n"/>
      <c r="I239" s="7" t="n"/>
      <c r="J239" s="7">
        <f>IF(F239="","",F239*I239)</f>
        <v/>
      </c>
      <c r="K239" s="7">
        <f>IF(G239="","",G239*Settings!$B$5/1000*Settings!$B$6)</f>
        <v/>
      </c>
      <c r="L239" s="9" t="n"/>
      <c r="M239" s="7">
        <f>IF(J239="","",J239*L239)</f>
        <v/>
      </c>
      <c r="N239" s="7">
        <f>IF(J239="","",J239-K239-M239-Settings!$B$9)</f>
        <v/>
      </c>
      <c r="O239" s="7">
        <f>IF(OR(H239="",H239=0),"",N239/H239)</f>
        <v/>
      </c>
      <c r="Q239" s="11" t="n"/>
    </row>
    <row r="240">
      <c r="A240" s="11" t="n"/>
      <c r="I240" s="7" t="n"/>
      <c r="J240" s="7">
        <f>IF(F240="","",F240*I240)</f>
        <v/>
      </c>
      <c r="K240" s="7">
        <f>IF(G240="","",G240*Settings!$B$5/1000*Settings!$B$6)</f>
        <v/>
      </c>
      <c r="L240" s="9" t="n"/>
      <c r="M240" s="7">
        <f>IF(J240="","",J240*L240)</f>
        <v/>
      </c>
      <c r="N240" s="7">
        <f>IF(J240="","",J240-K240-M240-Settings!$B$9)</f>
        <v/>
      </c>
      <c r="O240" s="7">
        <f>IF(OR(H240="",H240=0),"",N240/H240)</f>
        <v/>
      </c>
      <c r="Q240" s="11" t="n"/>
    </row>
    <row r="241">
      <c r="A241" s="11" t="n"/>
      <c r="I241" s="7" t="n"/>
      <c r="J241" s="7">
        <f>IF(F241="","",F241*I241)</f>
        <v/>
      </c>
      <c r="K241" s="7">
        <f>IF(G241="","",G241*Settings!$B$5/1000*Settings!$B$6)</f>
        <v/>
      </c>
      <c r="L241" s="9" t="n"/>
      <c r="M241" s="7">
        <f>IF(J241="","",J241*L241)</f>
        <v/>
      </c>
      <c r="N241" s="7">
        <f>IF(J241="","",J241-K241-M241-Settings!$B$9)</f>
        <v/>
      </c>
      <c r="O241" s="7">
        <f>IF(OR(H241="",H241=0),"",N241/H241)</f>
        <v/>
      </c>
      <c r="Q241" s="11" t="n"/>
    </row>
    <row r="242">
      <c r="A242" s="11" t="n"/>
      <c r="I242" s="7" t="n"/>
      <c r="J242" s="7">
        <f>IF(F242="","",F242*I242)</f>
        <v/>
      </c>
      <c r="K242" s="7">
        <f>IF(G242="","",G242*Settings!$B$5/1000*Settings!$B$6)</f>
        <v/>
      </c>
      <c r="L242" s="9" t="n"/>
      <c r="M242" s="7">
        <f>IF(J242="","",J242*L242)</f>
        <v/>
      </c>
      <c r="N242" s="7">
        <f>IF(J242="","",J242-K242-M242-Settings!$B$9)</f>
        <v/>
      </c>
      <c r="O242" s="7">
        <f>IF(OR(H242="",H242=0),"",N242/H242)</f>
        <v/>
      </c>
      <c r="Q242" s="11" t="n"/>
    </row>
    <row r="243">
      <c r="A243" s="11" t="n"/>
      <c r="I243" s="7" t="n"/>
      <c r="J243" s="7">
        <f>IF(F243="","",F243*I243)</f>
        <v/>
      </c>
      <c r="K243" s="7">
        <f>IF(G243="","",G243*Settings!$B$5/1000*Settings!$B$6)</f>
        <v/>
      </c>
      <c r="L243" s="9" t="n"/>
      <c r="M243" s="7">
        <f>IF(J243="","",J243*L243)</f>
        <v/>
      </c>
      <c r="N243" s="7">
        <f>IF(J243="","",J243-K243-M243-Settings!$B$9)</f>
        <v/>
      </c>
      <c r="O243" s="7">
        <f>IF(OR(H243="",H243=0),"",N243/H243)</f>
        <v/>
      </c>
      <c r="Q243" s="11" t="n"/>
    </row>
    <row r="244">
      <c r="A244" s="11" t="n"/>
      <c r="I244" s="7" t="n"/>
      <c r="J244" s="7">
        <f>IF(F244="","",F244*I244)</f>
        <v/>
      </c>
      <c r="K244" s="7">
        <f>IF(G244="","",G244*Settings!$B$5/1000*Settings!$B$6)</f>
        <v/>
      </c>
      <c r="L244" s="9" t="n"/>
      <c r="M244" s="7">
        <f>IF(J244="","",J244*L244)</f>
        <v/>
      </c>
      <c r="N244" s="7">
        <f>IF(J244="","",J244-K244-M244-Settings!$B$9)</f>
        <v/>
      </c>
      <c r="O244" s="7">
        <f>IF(OR(H244="",H244=0),"",N244/H244)</f>
        <v/>
      </c>
      <c r="Q244" s="11" t="n"/>
    </row>
    <row r="245">
      <c r="A245" s="11" t="n"/>
      <c r="I245" s="7" t="n"/>
      <c r="J245" s="7">
        <f>IF(F245="","",F245*I245)</f>
        <v/>
      </c>
      <c r="K245" s="7">
        <f>IF(G245="","",G245*Settings!$B$5/1000*Settings!$B$6)</f>
        <v/>
      </c>
      <c r="L245" s="9" t="n"/>
      <c r="M245" s="7">
        <f>IF(J245="","",J245*L245)</f>
        <v/>
      </c>
      <c r="N245" s="7">
        <f>IF(J245="","",J245-K245-M245-Settings!$B$9)</f>
        <v/>
      </c>
      <c r="O245" s="7">
        <f>IF(OR(H245="",H245=0),"",N245/H245)</f>
        <v/>
      </c>
      <c r="Q245" s="11" t="n"/>
    </row>
    <row r="246">
      <c r="A246" s="11" t="n"/>
      <c r="I246" s="7" t="n"/>
      <c r="J246" s="7">
        <f>IF(F246="","",F246*I246)</f>
        <v/>
      </c>
      <c r="K246" s="7">
        <f>IF(G246="","",G246*Settings!$B$5/1000*Settings!$B$6)</f>
        <v/>
      </c>
      <c r="L246" s="9" t="n"/>
      <c r="M246" s="7">
        <f>IF(J246="","",J246*L246)</f>
        <v/>
      </c>
      <c r="N246" s="7">
        <f>IF(J246="","",J246-K246-M246-Settings!$B$9)</f>
        <v/>
      </c>
      <c r="O246" s="7">
        <f>IF(OR(H246="",H246=0),"",N246/H246)</f>
        <v/>
      </c>
      <c r="Q246" s="11" t="n"/>
    </row>
    <row r="247">
      <c r="A247" s="11" t="n"/>
      <c r="I247" s="7" t="n"/>
      <c r="J247" s="7">
        <f>IF(F247="","",F247*I247)</f>
        <v/>
      </c>
      <c r="K247" s="7">
        <f>IF(G247="","",G247*Settings!$B$5/1000*Settings!$B$6)</f>
        <v/>
      </c>
      <c r="L247" s="9" t="n"/>
      <c r="M247" s="7">
        <f>IF(J247="","",J247*L247)</f>
        <v/>
      </c>
      <c r="N247" s="7">
        <f>IF(J247="","",J247-K247-M247-Settings!$B$9)</f>
        <v/>
      </c>
      <c r="O247" s="7">
        <f>IF(OR(H247="",H247=0),"",N247/H247)</f>
        <v/>
      </c>
      <c r="Q247" s="11" t="n"/>
    </row>
    <row r="248">
      <c r="A248" s="11" t="n"/>
      <c r="I248" s="7" t="n"/>
      <c r="J248" s="7">
        <f>IF(F248="","",F248*I248)</f>
        <v/>
      </c>
      <c r="K248" s="7">
        <f>IF(G248="","",G248*Settings!$B$5/1000*Settings!$B$6)</f>
        <v/>
      </c>
      <c r="L248" s="9" t="n"/>
      <c r="M248" s="7">
        <f>IF(J248="","",J248*L248)</f>
        <v/>
      </c>
      <c r="N248" s="7">
        <f>IF(J248="","",J248-K248-M248-Settings!$B$9)</f>
        <v/>
      </c>
      <c r="O248" s="7">
        <f>IF(OR(H248="",H248=0),"",N248/H248)</f>
        <v/>
      </c>
      <c r="Q248" s="11" t="n"/>
    </row>
    <row r="249">
      <c r="A249" s="11" t="n"/>
      <c r="I249" s="7" t="n"/>
      <c r="J249" s="7">
        <f>IF(F249="","",F249*I249)</f>
        <v/>
      </c>
      <c r="K249" s="7">
        <f>IF(G249="","",G249*Settings!$B$5/1000*Settings!$B$6)</f>
        <v/>
      </c>
      <c r="L249" s="9" t="n"/>
      <c r="M249" s="7">
        <f>IF(J249="","",J249*L249)</f>
        <v/>
      </c>
      <c r="N249" s="7">
        <f>IF(J249="","",J249-K249-M249-Settings!$B$9)</f>
        <v/>
      </c>
      <c r="O249" s="7">
        <f>IF(OR(H249="",H249=0),"",N249/H249)</f>
        <v/>
      </c>
      <c r="Q249" s="11" t="n"/>
    </row>
    <row r="250">
      <c r="A250" s="11" t="n"/>
      <c r="I250" s="7" t="n"/>
      <c r="J250" s="7">
        <f>IF(F250="","",F250*I250)</f>
        <v/>
      </c>
      <c r="K250" s="7">
        <f>IF(G250="","",G250*Settings!$B$5/1000*Settings!$B$6)</f>
        <v/>
      </c>
      <c r="L250" s="9" t="n"/>
      <c r="M250" s="7">
        <f>IF(J250="","",J250*L250)</f>
        <v/>
      </c>
      <c r="N250" s="7">
        <f>IF(J250="","",J250-K250-M250-Settings!$B$9)</f>
        <v/>
      </c>
      <c r="O250" s="7">
        <f>IF(OR(H250="",H250=0),"",N250/H250)</f>
        <v/>
      </c>
      <c r="Q250" s="11" t="n"/>
    </row>
    <row r="251">
      <c r="A251" s="11" t="n"/>
      <c r="I251" s="7" t="n"/>
      <c r="J251" s="7">
        <f>IF(F251="","",F251*I251)</f>
        <v/>
      </c>
      <c r="K251" s="7">
        <f>IF(G251="","",G251*Settings!$B$5/1000*Settings!$B$6)</f>
        <v/>
      </c>
      <c r="L251" s="9" t="n"/>
      <c r="M251" s="7">
        <f>IF(J251="","",J251*L251)</f>
        <v/>
      </c>
      <c r="N251" s="7">
        <f>IF(J251="","",J251-K251-M251-Settings!$B$9)</f>
        <v/>
      </c>
      <c r="O251" s="7">
        <f>IF(OR(H251="",H251=0),"",N251/H251)</f>
        <v/>
      </c>
      <c r="Q251" s="11" t="n"/>
    </row>
    <row r="252">
      <c r="A252" s="11" t="n"/>
      <c r="I252" s="7" t="n"/>
      <c r="J252" s="7">
        <f>IF(F252="","",F252*I252)</f>
        <v/>
      </c>
      <c r="K252" s="7">
        <f>IF(G252="","",G252*Settings!$B$5/1000*Settings!$B$6)</f>
        <v/>
      </c>
      <c r="L252" s="9" t="n"/>
      <c r="M252" s="7">
        <f>IF(J252="","",J252*L252)</f>
        <v/>
      </c>
      <c r="N252" s="7">
        <f>IF(J252="","",J252-K252-M252-Settings!$B$9)</f>
        <v/>
      </c>
      <c r="O252" s="7">
        <f>IF(OR(H252="",H252=0),"",N252/H252)</f>
        <v/>
      </c>
      <c r="Q252" s="11" t="n"/>
    </row>
    <row r="253">
      <c r="A253" s="11" t="n"/>
      <c r="I253" s="7" t="n"/>
      <c r="J253" s="7">
        <f>IF(F253="","",F253*I253)</f>
        <v/>
      </c>
      <c r="K253" s="7">
        <f>IF(G253="","",G253*Settings!$B$5/1000*Settings!$B$6)</f>
        <v/>
      </c>
      <c r="L253" s="9" t="n"/>
      <c r="M253" s="7">
        <f>IF(J253="","",J253*L253)</f>
        <v/>
      </c>
      <c r="N253" s="7">
        <f>IF(J253="","",J253-K253-M253-Settings!$B$9)</f>
        <v/>
      </c>
      <c r="O253" s="7">
        <f>IF(OR(H253="",H253=0),"",N253/H253)</f>
        <v/>
      </c>
      <c r="Q253" s="11" t="n"/>
    </row>
    <row r="254">
      <c r="A254" s="11" t="n"/>
      <c r="I254" s="7" t="n"/>
      <c r="J254" s="7">
        <f>IF(F254="","",F254*I254)</f>
        <v/>
      </c>
      <c r="K254" s="7">
        <f>IF(G254="","",G254*Settings!$B$5/1000*Settings!$B$6)</f>
        <v/>
      </c>
      <c r="L254" s="9" t="n"/>
      <c r="M254" s="7">
        <f>IF(J254="","",J254*L254)</f>
        <v/>
      </c>
      <c r="N254" s="7">
        <f>IF(J254="","",J254-K254-M254-Settings!$B$9)</f>
        <v/>
      </c>
      <c r="O254" s="7">
        <f>IF(OR(H254="",H254=0),"",N254/H254)</f>
        <v/>
      </c>
      <c r="Q254" s="11" t="n"/>
    </row>
    <row r="255">
      <c r="A255" s="11" t="n"/>
      <c r="I255" s="7" t="n"/>
      <c r="J255" s="7">
        <f>IF(F255="","",F255*I255)</f>
        <v/>
      </c>
      <c r="K255" s="7">
        <f>IF(G255="","",G255*Settings!$B$5/1000*Settings!$B$6)</f>
        <v/>
      </c>
      <c r="L255" s="9" t="n"/>
      <c r="M255" s="7">
        <f>IF(J255="","",J255*L255)</f>
        <v/>
      </c>
      <c r="N255" s="7">
        <f>IF(J255="","",J255-K255-M255-Settings!$B$9)</f>
        <v/>
      </c>
      <c r="O255" s="7">
        <f>IF(OR(H255="",H255=0),"",N255/H255)</f>
        <v/>
      </c>
      <c r="Q255" s="11" t="n"/>
    </row>
    <row r="256">
      <c r="A256" s="11" t="n"/>
      <c r="I256" s="7" t="n"/>
      <c r="J256" s="7">
        <f>IF(F256="","",F256*I256)</f>
        <v/>
      </c>
      <c r="K256" s="7">
        <f>IF(G256="","",G256*Settings!$B$5/1000*Settings!$B$6)</f>
        <v/>
      </c>
      <c r="L256" s="9" t="n"/>
      <c r="M256" s="7">
        <f>IF(J256="","",J256*L256)</f>
        <v/>
      </c>
      <c r="N256" s="7">
        <f>IF(J256="","",J256-K256-M256-Settings!$B$9)</f>
        <v/>
      </c>
      <c r="O256" s="7">
        <f>IF(OR(H256="",H256=0),"",N256/H256)</f>
        <v/>
      </c>
      <c r="Q256" s="11" t="n"/>
    </row>
    <row r="257">
      <c r="A257" s="11" t="n"/>
      <c r="I257" s="7" t="n"/>
      <c r="J257" s="7">
        <f>IF(F257="","",F257*I257)</f>
        <v/>
      </c>
      <c r="K257" s="7">
        <f>IF(G257="","",G257*Settings!$B$5/1000*Settings!$B$6)</f>
        <v/>
      </c>
      <c r="L257" s="9" t="n"/>
      <c r="M257" s="7">
        <f>IF(J257="","",J257*L257)</f>
        <v/>
      </c>
      <c r="N257" s="7">
        <f>IF(J257="","",J257-K257-M257-Settings!$B$9)</f>
        <v/>
      </c>
      <c r="O257" s="7">
        <f>IF(OR(H257="",H257=0),"",N257/H257)</f>
        <v/>
      </c>
      <c r="Q257" s="11" t="n"/>
    </row>
    <row r="258">
      <c r="A258" s="11" t="n"/>
      <c r="I258" s="7" t="n"/>
      <c r="J258" s="7">
        <f>IF(F258="","",F258*I258)</f>
        <v/>
      </c>
      <c r="K258" s="7">
        <f>IF(G258="","",G258*Settings!$B$5/1000*Settings!$B$6)</f>
        <v/>
      </c>
      <c r="L258" s="9" t="n"/>
      <c r="M258" s="7">
        <f>IF(J258="","",J258*L258)</f>
        <v/>
      </c>
      <c r="N258" s="7">
        <f>IF(J258="","",J258-K258-M258-Settings!$B$9)</f>
        <v/>
      </c>
      <c r="O258" s="7">
        <f>IF(OR(H258="",H258=0),"",N258/H258)</f>
        <v/>
      </c>
      <c r="Q258" s="11" t="n"/>
    </row>
    <row r="259">
      <c r="A259" s="11" t="n"/>
      <c r="I259" s="7" t="n"/>
      <c r="J259" s="7">
        <f>IF(F259="","",F259*I259)</f>
        <v/>
      </c>
      <c r="K259" s="7">
        <f>IF(G259="","",G259*Settings!$B$5/1000*Settings!$B$6)</f>
        <v/>
      </c>
      <c r="L259" s="9" t="n"/>
      <c r="M259" s="7">
        <f>IF(J259="","",J259*L259)</f>
        <v/>
      </c>
      <c r="N259" s="7">
        <f>IF(J259="","",J259-K259-M259-Settings!$B$9)</f>
        <v/>
      </c>
      <c r="O259" s="7">
        <f>IF(OR(H259="",H259=0),"",N259/H259)</f>
        <v/>
      </c>
      <c r="Q259" s="11" t="n"/>
    </row>
    <row r="260">
      <c r="A260" s="11" t="n"/>
      <c r="I260" s="7" t="n"/>
      <c r="J260" s="7">
        <f>IF(F260="","",F260*I260)</f>
        <v/>
      </c>
      <c r="K260" s="7">
        <f>IF(G260="","",G260*Settings!$B$5/1000*Settings!$B$6)</f>
        <v/>
      </c>
      <c r="L260" s="9" t="n"/>
      <c r="M260" s="7">
        <f>IF(J260="","",J260*L260)</f>
        <v/>
      </c>
      <c r="N260" s="7">
        <f>IF(J260="","",J260-K260-M260-Settings!$B$9)</f>
        <v/>
      </c>
      <c r="O260" s="7">
        <f>IF(OR(H260="",H260=0),"",N260/H260)</f>
        <v/>
      </c>
      <c r="Q260" s="11" t="n"/>
    </row>
    <row r="261">
      <c r="A261" s="11" t="n"/>
      <c r="I261" s="7" t="n"/>
      <c r="J261" s="7">
        <f>IF(F261="","",F261*I261)</f>
        <v/>
      </c>
      <c r="K261" s="7">
        <f>IF(G261="","",G261*Settings!$B$5/1000*Settings!$B$6)</f>
        <v/>
      </c>
      <c r="L261" s="9" t="n"/>
      <c r="M261" s="7">
        <f>IF(J261="","",J261*L261)</f>
        <v/>
      </c>
      <c r="N261" s="7">
        <f>IF(J261="","",J261-K261-M261-Settings!$B$9)</f>
        <v/>
      </c>
      <c r="O261" s="7">
        <f>IF(OR(H261="",H261=0),"",N261/H261)</f>
        <v/>
      </c>
      <c r="Q261" s="11" t="n"/>
    </row>
    <row r="262">
      <c r="A262" s="11" t="n"/>
      <c r="I262" s="7" t="n"/>
      <c r="J262" s="7">
        <f>IF(F262="","",F262*I262)</f>
        <v/>
      </c>
      <c r="K262" s="7">
        <f>IF(G262="","",G262*Settings!$B$5/1000*Settings!$B$6)</f>
        <v/>
      </c>
      <c r="L262" s="9" t="n"/>
      <c r="M262" s="7">
        <f>IF(J262="","",J262*L262)</f>
        <v/>
      </c>
      <c r="N262" s="7">
        <f>IF(J262="","",J262-K262-M262-Settings!$B$9)</f>
        <v/>
      </c>
      <c r="O262" s="7">
        <f>IF(OR(H262="",H262=0),"",N262/H262)</f>
        <v/>
      </c>
      <c r="Q262" s="11" t="n"/>
    </row>
    <row r="263">
      <c r="A263" s="11" t="n"/>
      <c r="I263" s="7" t="n"/>
      <c r="J263" s="7">
        <f>IF(F263="","",F263*I263)</f>
        <v/>
      </c>
      <c r="K263" s="7">
        <f>IF(G263="","",G263*Settings!$B$5/1000*Settings!$B$6)</f>
        <v/>
      </c>
      <c r="L263" s="9" t="n"/>
      <c r="M263" s="7">
        <f>IF(J263="","",J263*L263)</f>
        <v/>
      </c>
      <c r="N263" s="7">
        <f>IF(J263="","",J263-K263-M263-Settings!$B$9)</f>
        <v/>
      </c>
      <c r="O263" s="7">
        <f>IF(OR(H263="",H263=0),"",N263/H263)</f>
        <v/>
      </c>
      <c r="Q263" s="11" t="n"/>
    </row>
    <row r="264">
      <c r="A264" s="11" t="n"/>
      <c r="I264" s="7" t="n"/>
      <c r="J264" s="7">
        <f>IF(F264="","",F264*I264)</f>
        <v/>
      </c>
      <c r="K264" s="7">
        <f>IF(G264="","",G264*Settings!$B$5/1000*Settings!$B$6)</f>
        <v/>
      </c>
      <c r="L264" s="9" t="n"/>
      <c r="M264" s="7">
        <f>IF(J264="","",J264*L264)</f>
        <v/>
      </c>
      <c r="N264" s="7">
        <f>IF(J264="","",J264-K264-M264-Settings!$B$9)</f>
        <v/>
      </c>
      <c r="O264" s="7">
        <f>IF(OR(H264="",H264=0),"",N264/H264)</f>
        <v/>
      </c>
      <c r="Q264" s="11" t="n"/>
    </row>
    <row r="265">
      <c r="A265" s="11" t="n"/>
      <c r="I265" s="7" t="n"/>
      <c r="J265" s="7">
        <f>IF(F265="","",F265*I265)</f>
        <v/>
      </c>
      <c r="K265" s="7">
        <f>IF(G265="","",G265*Settings!$B$5/1000*Settings!$B$6)</f>
        <v/>
      </c>
      <c r="L265" s="9" t="n"/>
      <c r="M265" s="7">
        <f>IF(J265="","",J265*L265)</f>
        <v/>
      </c>
      <c r="N265" s="7">
        <f>IF(J265="","",J265-K265-M265-Settings!$B$9)</f>
        <v/>
      </c>
      <c r="O265" s="7">
        <f>IF(OR(H265="",H265=0),"",N265/H265)</f>
        <v/>
      </c>
      <c r="Q265" s="11" t="n"/>
    </row>
    <row r="266">
      <c r="A266" s="11" t="n"/>
      <c r="I266" s="7" t="n"/>
      <c r="J266" s="7">
        <f>IF(F266="","",F266*I266)</f>
        <v/>
      </c>
      <c r="K266" s="7">
        <f>IF(G266="","",G266*Settings!$B$5/1000*Settings!$B$6)</f>
        <v/>
      </c>
      <c r="L266" s="9" t="n"/>
      <c r="M266" s="7">
        <f>IF(J266="","",J266*L266)</f>
        <v/>
      </c>
      <c r="N266" s="7">
        <f>IF(J266="","",J266-K266-M266-Settings!$B$9)</f>
        <v/>
      </c>
      <c r="O266" s="7">
        <f>IF(OR(H266="",H266=0),"",N266/H266)</f>
        <v/>
      </c>
      <c r="Q266" s="11" t="n"/>
    </row>
    <row r="267">
      <c r="A267" s="11" t="n"/>
      <c r="I267" s="7" t="n"/>
      <c r="J267" s="7">
        <f>IF(F267="","",F267*I267)</f>
        <v/>
      </c>
      <c r="K267" s="7">
        <f>IF(G267="","",G267*Settings!$B$5/1000*Settings!$B$6)</f>
        <v/>
      </c>
      <c r="L267" s="9" t="n"/>
      <c r="M267" s="7">
        <f>IF(J267="","",J267*L267)</f>
        <v/>
      </c>
      <c r="N267" s="7">
        <f>IF(J267="","",J267-K267-M267-Settings!$B$9)</f>
        <v/>
      </c>
      <c r="O267" s="7">
        <f>IF(OR(H267="",H267=0),"",N267/H267)</f>
        <v/>
      </c>
      <c r="Q267" s="11" t="n"/>
    </row>
    <row r="268">
      <c r="A268" s="11" t="n"/>
      <c r="I268" s="7" t="n"/>
      <c r="J268" s="7">
        <f>IF(F268="","",F268*I268)</f>
        <v/>
      </c>
      <c r="K268" s="7">
        <f>IF(G268="","",G268*Settings!$B$5/1000*Settings!$B$6)</f>
        <v/>
      </c>
      <c r="L268" s="9" t="n"/>
      <c r="M268" s="7">
        <f>IF(J268="","",J268*L268)</f>
        <v/>
      </c>
      <c r="N268" s="7">
        <f>IF(J268="","",J268-K268-M268-Settings!$B$9)</f>
        <v/>
      </c>
      <c r="O268" s="7">
        <f>IF(OR(H268="",H268=0),"",N268/H268)</f>
        <v/>
      </c>
      <c r="Q268" s="11" t="n"/>
    </row>
    <row r="269">
      <c r="A269" s="11" t="n"/>
      <c r="I269" s="7" t="n"/>
      <c r="J269" s="7">
        <f>IF(F269="","",F269*I269)</f>
        <v/>
      </c>
      <c r="K269" s="7">
        <f>IF(G269="","",G269*Settings!$B$5/1000*Settings!$B$6)</f>
        <v/>
      </c>
      <c r="L269" s="9" t="n"/>
      <c r="M269" s="7">
        <f>IF(J269="","",J269*L269)</f>
        <v/>
      </c>
      <c r="N269" s="7">
        <f>IF(J269="","",J269-K269-M269-Settings!$B$9)</f>
        <v/>
      </c>
      <c r="O269" s="7">
        <f>IF(OR(H269="",H269=0),"",N269/H269)</f>
        <v/>
      </c>
      <c r="Q269" s="11" t="n"/>
    </row>
    <row r="270">
      <c r="A270" s="11" t="n"/>
      <c r="I270" s="7" t="n"/>
      <c r="J270" s="7">
        <f>IF(F270="","",F270*I270)</f>
        <v/>
      </c>
      <c r="K270" s="7">
        <f>IF(G270="","",G270*Settings!$B$5/1000*Settings!$B$6)</f>
        <v/>
      </c>
      <c r="L270" s="9" t="n"/>
      <c r="M270" s="7">
        <f>IF(J270="","",J270*L270)</f>
        <v/>
      </c>
      <c r="N270" s="7">
        <f>IF(J270="","",J270-K270-M270-Settings!$B$9)</f>
        <v/>
      </c>
      <c r="O270" s="7">
        <f>IF(OR(H270="",H270=0),"",N270/H270)</f>
        <v/>
      </c>
      <c r="Q270" s="11" t="n"/>
    </row>
    <row r="271">
      <c r="A271" s="11" t="n"/>
      <c r="I271" s="7" t="n"/>
      <c r="J271" s="7">
        <f>IF(F271="","",F271*I271)</f>
        <v/>
      </c>
      <c r="K271" s="7">
        <f>IF(G271="","",G271*Settings!$B$5/1000*Settings!$B$6)</f>
        <v/>
      </c>
      <c r="L271" s="9" t="n"/>
      <c r="M271" s="7">
        <f>IF(J271="","",J271*L271)</f>
        <v/>
      </c>
      <c r="N271" s="7">
        <f>IF(J271="","",J271-K271-M271-Settings!$B$9)</f>
        <v/>
      </c>
      <c r="O271" s="7">
        <f>IF(OR(H271="",H271=0),"",N271/H271)</f>
        <v/>
      </c>
      <c r="Q271" s="11" t="n"/>
    </row>
    <row r="272">
      <c r="A272" s="11" t="n"/>
      <c r="I272" s="7" t="n"/>
      <c r="J272" s="7">
        <f>IF(F272="","",F272*I272)</f>
        <v/>
      </c>
      <c r="K272" s="7">
        <f>IF(G272="","",G272*Settings!$B$5/1000*Settings!$B$6)</f>
        <v/>
      </c>
      <c r="L272" s="9" t="n"/>
      <c r="M272" s="7">
        <f>IF(J272="","",J272*L272)</f>
        <v/>
      </c>
      <c r="N272" s="7">
        <f>IF(J272="","",J272-K272-M272-Settings!$B$9)</f>
        <v/>
      </c>
      <c r="O272" s="7">
        <f>IF(OR(H272="",H272=0),"",N272/H272)</f>
        <v/>
      </c>
      <c r="Q272" s="11" t="n"/>
    </row>
    <row r="273">
      <c r="A273" s="11" t="n"/>
      <c r="I273" s="7" t="n"/>
      <c r="J273" s="7">
        <f>IF(F273="","",F273*I273)</f>
        <v/>
      </c>
      <c r="K273" s="7">
        <f>IF(G273="","",G273*Settings!$B$5/1000*Settings!$B$6)</f>
        <v/>
      </c>
      <c r="L273" s="9" t="n"/>
      <c r="M273" s="7">
        <f>IF(J273="","",J273*L273)</f>
        <v/>
      </c>
      <c r="N273" s="7">
        <f>IF(J273="","",J273-K273-M273-Settings!$B$9)</f>
        <v/>
      </c>
      <c r="O273" s="7">
        <f>IF(OR(H273="",H273=0),"",N273/H273)</f>
        <v/>
      </c>
      <c r="Q273" s="11" t="n"/>
    </row>
    <row r="274">
      <c r="A274" s="11" t="n"/>
      <c r="I274" s="7" t="n"/>
      <c r="J274" s="7">
        <f>IF(F274="","",F274*I274)</f>
        <v/>
      </c>
      <c r="K274" s="7">
        <f>IF(G274="","",G274*Settings!$B$5/1000*Settings!$B$6)</f>
        <v/>
      </c>
      <c r="L274" s="9" t="n"/>
      <c r="M274" s="7">
        <f>IF(J274="","",J274*L274)</f>
        <v/>
      </c>
      <c r="N274" s="7">
        <f>IF(J274="","",J274-K274-M274-Settings!$B$9)</f>
        <v/>
      </c>
      <c r="O274" s="7">
        <f>IF(OR(H274="",H274=0),"",N274/H274)</f>
        <v/>
      </c>
      <c r="Q274" s="11" t="n"/>
    </row>
    <row r="275">
      <c r="A275" s="11" t="n"/>
      <c r="I275" s="7" t="n"/>
      <c r="J275" s="7">
        <f>IF(F275="","",F275*I275)</f>
        <v/>
      </c>
      <c r="K275" s="7">
        <f>IF(G275="","",G275*Settings!$B$5/1000*Settings!$B$6)</f>
        <v/>
      </c>
      <c r="L275" s="9" t="n"/>
      <c r="M275" s="7">
        <f>IF(J275="","",J275*L275)</f>
        <v/>
      </c>
      <c r="N275" s="7">
        <f>IF(J275="","",J275-K275-M275-Settings!$B$9)</f>
        <v/>
      </c>
      <c r="O275" s="7">
        <f>IF(OR(H275="",H275=0),"",N275/H275)</f>
        <v/>
      </c>
      <c r="Q275" s="11" t="n"/>
    </row>
    <row r="276">
      <c r="A276" s="11" t="n"/>
      <c r="I276" s="7" t="n"/>
      <c r="J276" s="7">
        <f>IF(F276="","",F276*I276)</f>
        <v/>
      </c>
      <c r="K276" s="7">
        <f>IF(G276="","",G276*Settings!$B$5/1000*Settings!$B$6)</f>
        <v/>
      </c>
      <c r="L276" s="9" t="n"/>
      <c r="M276" s="7">
        <f>IF(J276="","",J276*L276)</f>
        <v/>
      </c>
      <c r="N276" s="7">
        <f>IF(J276="","",J276-K276-M276-Settings!$B$9)</f>
        <v/>
      </c>
      <c r="O276" s="7">
        <f>IF(OR(H276="",H276=0),"",N276/H276)</f>
        <v/>
      </c>
      <c r="Q276" s="11" t="n"/>
    </row>
    <row r="277">
      <c r="A277" s="11" t="n"/>
      <c r="I277" s="7" t="n"/>
      <c r="J277" s="7">
        <f>IF(F277="","",F277*I277)</f>
        <v/>
      </c>
      <c r="K277" s="7">
        <f>IF(G277="","",G277*Settings!$B$5/1000*Settings!$B$6)</f>
        <v/>
      </c>
      <c r="L277" s="9" t="n"/>
      <c r="M277" s="7">
        <f>IF(J277="","",J277*L277)</f>
        <v/>
      </c>
      <c r="N277" s="7">
        <f>IF(J277="","",J277-K277-M277-Settings!$B$9)</f>
        <v/>
      </c>
      <c r="O277" s="7">
        <f>IF(OR(H277="",H277=0),"",N277/H277)</f>
        <v/>
      </c>
      <c r="Q277" s="11" t="n"/>
    </row>
    <row r="278">
      <c r="A278" s="11" t="n"/>
      <c r="I278" s="7" t="n"/>
      <c r="J278" s="7">
        <f>IF(F278="","",F278*I278)</f>
        <v/>
      </c>
      <c r="K278" s="7">
        <f>IF(G278="","",G278*Settings!$B$5/1000*Settings!$B$6)</f>
        <v/>
      </c>
      <c r="L278" s="9" t="n"/>
      <c r="M278" s="7">
        <f>IF(J278="","",J278*L278)</f>
        <v/>
      </c>
      <c r="N278" s="7">
        <f>IF(J278="","",J278-K278-M278-Settings!$B$9)</f>
        <v/>
      </c>
      <c r="O278" s="7">
        <f>IF(OR(H278="",H278=0),"",N278/H278)</f>
        <v/>
      </c>
      <c r="Q278" s="11" t="n"/>
    </row>
    <row r="279">
      <c r="A279" s="11" t="n"/>
      <c r="I279" s="7" t="n"/>
      <c r="J279" s="7">
        <f>IF(F279="","",F279*I279)</f>
        <v/>
      </c>
      <c r="K279" s="7">
        <f>IF(G279="","",G279*Settings!$B$5/1000*Settings!$B$6)</f>
        <v/>
      </c>
      <c r="L279" s="9" t="n"/>
      <c r="M279" s="7">
        <f>IF(J279="","",J279*L279)</f>
        <v/>
      </c>
      <c r="N279" s="7">
        <f>IF(J279="","",J279-K279-M279-Settings!$B$9)</f>
        <v/>
      </c>
      <c r="O279" s="7">
        <f>IF(OR(H279="",H279=0),"",N279/H279)</f>
        <v/>
      </c>
      <c r="Q279" s="11" t="n"/>
    </row>
    <row r="280">
      <c r="A280" s="11" t="n"/>
      <c r="I280" s="7" t="n"/>
      <c r="J280" s="7">
        <f>IF(F280="","",F280*I280)</f>
        <v/>
      </c>
      <c r="K280" s="7">
        <f>IF(G280="","",G280*Settings!$B$5/1000*Settings!$B$6)</f>
        <v/>
      </c>
      <c r="L280" s="9" t="n"/>
      <c r="M280" s="7">
        <f>IF(J280="","",J280*L280)</f>
        <v/>
      </c>
      <c r="N280" s="7">
        <f>IF(J280="","",J280-K280-M280-Settings!$B$9)</f>
        <v/>
      </c>
      <c r="O280" s="7">
        <f>IF(OR(H280="",H280=0),"",N280/H280)</f>
        <v/>
      </c>
      <c r="Q280" s="11" t="n"/>
    </row>
    <row r="281">
      <c r="A281" s="11" t="n"/>
      <c r="I281" s="7" t="n"/>
      <c r="J281" s="7">
        <f>IF(F281="","",F281*I281)</f>
        <v/>
      </c>
      <c r="K281" s="7">
        <f>IF(G281="","",G281*Settings!$B$5/1000*Settings!$B$6)</f>
        <v/>
      </c>
      <c r="L281" s="9" t="n"/>
      <c r="M281" s="7">
        <f>IF(J281="","",J281*L281)</f>
        <v/>
      </c>
      <c r="N281" s="7">
        <f>IF(J281="","",J281-K281-M281-Settings!$B$9)</f>
        <v/>
      </c>
      <c r="O281" s="7">
        <f>IF(OR(H281="",H281=0),"",N281/H281)</f>
        <v/>
      </c>
      <c r="Q281" s="11" t="n"/>
    </row>
    <row r="282">
      <c r="A282" s="11" t="n"/>
      <c r="I282" s="7" t="n"/>
      <c r="J282" s="7">
        <f>IF(F282="","",F282*I282)</f>
        <v/>
      </c>
      <c r="K282" s="7">
        <f>IF(G282="","",G282*Settings!$B$5/1000*Settings!$B$6)</f>
        <v/>
      </c>
      <c r="L282" s="9" t="n"/>
      <c r="M282" s="7">
        <f>IF(J282="","",J282*L282)</f>
        <v/>
      </c>
      <c r="N282" s="7">
        <f>IF(J282="","",J282-K282-M282-Settings!$B$9)</f>
        <v/>
      </c>
      <c r="O282" s="7">
        <f>IF(OR(H282="",H282=0),"",N282/H282)</f>
        <v/>
      </c>
      <c r="Q282" s="11" t="n"/>
    </row>
    <row r="283">
      <c r="A283" s="11" t="n"/>
      <c r="I283" s="7" t="n"/>
      <c r="J283" s="7">
        <f>IF(F283="","",F283*I283)</f>
        <v/>
      </c>
      <c r="K283" s="7">
        <f>IF(G283="","",G283*Settings!$B$5/1000*Settings!$B$6)</f>
        <v/>
      </c>
      <c r="L283" s="9" t="n"/>
      <c r="M283" s="7">
        <f>IF(J283="","",J283*L283)</f>
        <v/>
      </c>
      <c r="N283" s="7">
        <f>IF(J283="","",J283-K283-M283-Settings!$B$9)</f>
        <v/>
      </c>
      <c r="O283" s="7">
        <f>IF(OR(H283="",H283=0),"",N283/H283)</f>
        <v/>
      </c>
      <c r="Q283" s="11" t="n"/>
    </row>
    <row r="284">
      <c r="A284" s="11" t="n"/>
      <c r="I284" s="7" t="n"/>
      <c r="J284" s="7">
        <f>IF(F284="","",F284*I284)</f>
        <v/>
      </c>
      <c r="K284" s="7">
        <f>IF(G284="","",G284*Settings!$B$5/1000*Settings!$B$6)</f>
        <v/>
      </c>
      <c r="L284" s="9" t="n"/>
      <c r="M284" s="7">
        <f>IF(J284="","",J284*L284)</f>
        <v/>
      </c>
      <c r="N284" s="7">
        <f>IF(J284="","",J284-K284-M284-Settings!$B$9)</f>
        <v/>
      </c>
      <c r="O284" s="7">
        <f>IF(OR(H284="",H284=0),"",N284/H284)</f>
        <v/>
      </c>
      <c r="Q284" s="11" t="n"/>
    </row>
    <row r="285">
      <c r="A285" s="11" t="n"/>
      <c r="I285" s="7" t="n"/>
      <c r="J285" s="7">
        <f>IF(F285="","",F285*I285)</f>
        <v/>
      </c>
      <c r="K285" s="7">
        <f>IF(G285="","",G285*Settings!$B$5/1000*Settings!$B$6)</f>
        <v/>
      </c>
      <c r="L285" s="9" t="n"/>
      <c r="M285" s="7">
        <f>IF(J285="","",J285*L285)</f>
        <v/>
      </c>
      <c r="N285" s="7">
        <f>IF(J285="","",J285-K285-M285-Settings!$B$9)</f>
        <v/>
      </c>
      <c r="O285" s="7">
        <f>IF(OR(H285="",H285=0),"",N285/H285)</f>
        <v/>
      </c>
      <c r="Q285" s="11" t="n"/>
    </row>
    <row r="286">
      <c r="A286" s="11" t="n"/>
      <c r="I286" s="7" t="n"/>
      <c r="J286" s="7">
        <f>IF(F286="","",F286*I286)</f>
        <v/>
      </c>
      <c r="K286" s="7">
        <f>IF(G286="","",G286*Settings!$B$5/1000*Settings!$B$6)</f>
        <v/>
      </c>
      <c r="L286" s="9" t="n"/>
      <c r="M286" s="7">
        <f>IF(J286="","",J286*L286)</f>
        <v/>
      </c>
      <c r="N286" s="7">
        <f>IF(J286="","",J286-K286-M286-Settings!$B$9)</f>
        <v/>
      </c>
      <c r="O286" s="7">
        <f>IF(OR(H286="",H286=0),"",N286/H286)</f>
        <v/>
      </c>
      <c r="Q286" s="11" t="n"/>
    </row>
    <row r="287">
      <c r="A287" s="11" t="n"/>
      <c r="I287" s="7" t="n"/>
      <c r="J287" s="7">
        <f>IF(F287="","",F287*I287)</f>
        <v/>
      </c>
      <c r="K287" s="7">
        <f>IF(G287="","",G287*Settings!$B$5/1000*Settings!$B$6)</f>
        <v/>
      </c>
      <c r="L287" s="9" t="n"/>
      <c r="M287" s="7">
        <f>IF(J287="","",J287*L287)</f>
        <v/>
      </c>
      <c r="N287" s="7">
        <f>IF(J287="","",J287-K287-M287-Settings!$B$9)</f>
        <v/>
      </c>
      <c r="O287" s="7">
        <f>IF(OR(H287="",H287=0),"",N287/H287)</f>
        <v/>
      </c>
      <c r="Q287" s="11" t="n"/>
    </row>
    <row r="288">
      <c r="A288" s="11" t="n"/>
      <c r="I288" s="7" t="n"/>
      <c r="J288" s="7">
        <f>IF(F288="","",F288*I288)</f>
        <v/>
      </c>
      <c r="K288" s="7">
        <f>IF(G288="","",G288*Settings!$B$5/1000*Settings!$B$6)</f>
        <v/>
      </c>
      <c r="L288" s="9" t="n"/>
      <c r="M288" s="7">
        <f>IF(J288="","",J288*L288)</f>
        <v/>
      </c>
      <c r="N288" s="7">
        <f>IF(J288="","",J288-K288-M288-Settings!$B$9)</f>
        <v/>
      </c>
      <c r="O288" s="7">
        <f>IF(OR(H288="",H288=0),"",N288/H288)</f>
        <v/>
      </c>
      <c r="Q288" s="11" t="n"/>
    </row>
    <row r="289">
      <c r="A289" s="11" t="n"/>
      <c r="I289" s="7" t="n"/>
      <c r="J289" s="7">
        <f>IF(F289="","",F289*I289)</f>
        <v/>
      </c>
      <c r="K289" s="7">
        <f>IF(G289="","",G289*Settings!$B$5/1000*Settings!$B$6)</f>
        <v/>
      </c>
      <c r="L289" s="9" t="n"/>
      <c r="M289" s="7">
        <f>IF(J289="","",J289*L289)</f>
        <v/>
      </c>
      <c r="N289" s="7">
        <f>IF(J289="","",J289-K289-M289-Settings!$B$9)</f>
        <v/>
      </c>
      <c r="O289" s="7">
        <f>IF(OR(H289="",H289=0),"",N289/H289)</f>
        <v/>
      </c>
      <c r="Q289" s="11" t="n"/>
    </row>
    <row r="290">
      <c r="A290" s="11" t="n"/>
      <c r="I290" s="7" t="n"/>
      <c r="J290" s="7">
        <f>IF(F290="","",F290*I290)</f>
        <v/>
      </c>
      <c r="K290" s="7">
        <f>IF(G290="","",G290*Settings!$B$5/1000*Settings!$B$6)</f>
        <v/>
      </c>
      <c r="L290" s="9" t="n"/>
      <c r="M290" s="7">
        <f>IF(J290="","",J290*L290)</f>
        <v/>
      </c>
      <c r="N290" s="7">
        <f>IF(J290="","",J290-K290-M290-Settings!$B$9)</f>
        <v/>
      </c>
      <c r="O290" s="7">
        <f>IF(OR(H290="",H290=0),"",N290/H290)</f>
        <v/>
      </c>
      <c r="Q290" s="11" t="n"/>
    </row>
    <row r="291">
      <c r="A291" s="11" t="n"/>
      <c r="I291" s="7" t="n"/>
      <c r="J291" s="7">
        <f>IF(F291="","",F291*I291)</f>
        <v/>
      </c>
      <c r="K291" s="7">
        <f>IF(G291="","",G291*Settings!$B$5/1000*Settings!$B$6)</f>
        <v/>
      </c>
      <c r="L291" s="9" t="n"/>
      <c r="M291" s="7">
        <f>IF(J291="","",J291*L291)</f>
        <v/>
      </c>
      <c r="N291" s="7">
        <f>IF(J291="","",J291-K291-M291-Settings!$B$9)</f>
        <v/>
      </c>
      <c r="O291" s="7">
        <f>IF(OR(H291="",H291=0),"",N291/H291)</f>
        <v/>
      </c>
      <c r="Q291" s="11" t="n"/>
    </row>
    <row r="292">
      <c r="A292" s="11" t="n"/>
      <c r="I292" s="7" t="n"/>
      <c r="J292" s="7">
        <f>IF(F292="","",F292*I292)</f>
        <v/>
      </c>
      <c r="K292" s="7">
        <f>IF(G292="","",G292*Settings!$B$5/1000*Settings!$B$6)</f>
        <v/>
      </c>
      <c r="L292" s="9" t="n"/>
      <c r="M292" s="7">
        <f>IF(J292="","",J292*L292)</f>
        <v/>
      </c>
      <c r="N292" s="7">
        <f>IF(J292="","",J292-K292-M292-Settings!$B$9)</f>
        <v/>
      </c>
      <c r="O292" s="7">
        <f>IF(OR(H292="",H292=0),"",N292/H292)</f>
        <v/>
      </c>
      <c r="Q292" s="11" t="n"/>
    </row>
    <row r="293">
      <c r="A293" s="11" t="n"/>
      <c r="I293" s="7" t="n"/>
      <c r="J293" s="7">
        <f>IF(F293="","",F293*I293)</f>
        <v/>
      </c>
      <c r="K293" s="7">
        <f>IF(G293="","",G293*Settings!$B$5/1000*Settings!$B$6)</f>
        <v/>
      </c>
      <c r="L293" s="9" t="n"/>
      <c r="M293" s="7">
        <f>IF(J293="","",J293*L293)</f>
        <v/>
      </c>
      <c r="N293" s="7">
        <f>IF(J293="","",J293-K293-M293-Settings!$B$9)</f>
        <v/>
      </c>
      <c r="O293" s="7">
        <f>IF(OR(H293="",H293=0),"",N293/H293)</f>
        <v/>
      </c>
      <c r="Q293" s="11" t="n"/>
    </row>
    <row r="294">
      <c r="A294" s="11" t="n"/>
      <c r="I294" s="7" t="n"/>
      <c r="J294" s="7">
        <f>IF(F294="","",F294*I294)</f>
        <v/>
      </c>
      <c r="K294" s="7">
        <f>IF(G294="","",G294*Settings!$B$5/1000*Settings!$B$6)</f>
        <v/>
      </c>
      <c r="L294" s="9" t="n"/>
      <c r="M294" s="7">
        <f>IF(J294="","",J294*L294)</f>
        <v/>
      </c>
      <c r="N294" s="7">
        <f>IF(J294="","",J294-K294-M294-Settings!$B$9)</f>
        <v/>
      </c>
      <c r="O294" s="7">
        <f>IF(OR(H294="",H294=0),"",N294/H294)</f>
        <v/>
      </c>
      <c r="Q294" s="11" t="n"/>
    </row>
    <row r="295">
      <c r="A295" s="11" t="n"/>
      <c r="I295" s="7" t="n"/>
      <c r="J295" s="7">
        <f>IF(F295="","",F295*I295)</f>
        <v/>
      </c>
      <c r="K295" s="7">
        <f>IF(G295="","",G295*Settings!$B$5/1000*Settings!$B$6)</f>
        <v/>
      </c>
      <c r="L295" s="9" t="n"/>
      <c r="M295" s="7">
        <f>IF(J295="","",J295*L295)</f>
        <v/>
      </c>
      <c r="N295" s="7">
        <f>IF(J295="","",J295-K295-M295-Settings!$B$9)</f>
        <v/>
      </c>
      <c r="O295" s="7">
        <f>IF(OR(H295="",H295=0),"",N295/H295)</f>
        <v/>
      </c>
      <c r="Q295" s="11" t="n"/>
    </row>
    <row r="296">
      <c r="A296" s="11" t="n"/>
      <c r="I296" s="7" t="n"/>
      <c r="J296" s="7">
        <f>IF(F296="","",F296*I296)</f>
        <v/>
      </c>
      <c r="K296" s="7">
        <f>IF(G296="","",G296*Settings!$B$5/1000*Settings!$B$6)</f>
        <v/>
      </c>
      <c r="L296" s="9" t="n"/>
      <c r="M296" s="7">
        <f>IF(J296="","",J296*L296)</f>
        <v/>
      </c>
      <c r="N296" s="7">
        <f>IF(J296="","",J296-K296-M296-Settings!$B$9)</f>
        <v/>
      </c>
      <c r="O296" s="7">
        <f>IF(OR(H296="",H296=0),"",N296/H296)</f>
        <v/>
      </c>
      <c r="Q296" s="11" t="n"/>
    </row>
    <row r="297">
      <c r="A297" s="11" t="n"/>
      <c r="I297" s="7" t="n"/>
      <c r="J297" s="7">
        <f>IF(F297="","",F297*I297)</f>
        <v/>
      </c>
      <c r="K297" s="7">
        <f>IF(G297="","",G297*Settings!$B$5/1000*Settings!$B$6)</f>
        <v/>
      </c>
      <c r="L297" s="9" t="n"/>
      <c r="M297" s="7">
        <f>IF(J297="","",J297*L297)</f>
        <v/>
      </c>
      <c r="N297" s="7">
        <f>IF(J297="","",J297-K297-M297-Settings!$B$9)</f>
        <v/>
      </c>
      <c r="O297" s="7">
        <f>IF(OR(H297="",H297=0),"",N297/H297)</f>
        <v/>
      </c>
      <c r="Q297" s="11" t="n"/>
    </row>
    <row r="298">
      <c r="A298" s="11" t="n"/>
      <c r="I298" s="7" t="n"/>
      <c r="J298" s="7">
        <f>IF(F298="","",F298*I298)</f>
        <v/>
      </c>
      <c r="K298" s="7">
        <f>IF(G298="","",G298*Settings!$B$5/1000*Settings!$B$6)</f>
        <v/>
      </c>
      <c r="L298" s="9" t="n"/>
      <c r="M298" s="7">
        <f>IF(J298="","",J298*L298)</f>
        <v/>
      </c>
      <c r="N298" s="7">
        <f>IF(J298="","",J298-K298-M298-Settings!$B$9)</f>
        <v/>
      </c>
      <c r="O298" s="7">
        <f>IF(OR(H298="",H298=0),"",N298/H298)</f>
        <v/>
      </c>
      <c r="Q298" s="11" t="n"/>
    </row>
    <row r="299">
      <c r="A299" s="11" t="n"/>
      <c r="I299" s="7" t="n"/>
      <c r="J299" s="7">
        <f>IF(F299="","",F299*I299)</f>
        <v/>
      </c>
      <c r="K299" s="7">
        <f>IF(G299="","",G299*Settings!$B$5/1000*Settings!$B$6)</f>
        <v/>
      </c>
      <c r="L299" s="9" t="n"/>
      <c r="M299" s="7">
        <f>IF(J299="","",J299*L299)</f>
        <v/>
      </c>
      <c r="N299" s="7">
        <f>IF(J299="","",J299-K299-M299-Settings!$B$9)</f>
        <v/>
      </c>
      <c r="O299" s="7">
        <f>IF(OR(H299="",H299=0),"",N299/H299)</f>
        <v/>
      </c>
      <c r="Q299" s="11" t="n"/>
    </row>
    <row r="300">
      <c r="A300" s="11" t="n"/>
      <c r="I300" s="7" t="n"/>
      <c r="J300" s="7">
        <f>IF(F300="","",F300*I300)</f>
        <v/>
      </c>
      <c r="K300" s="7">
        <f>IF(G300="","",G300*Settings!$B$5/1000*Settings!$B$6)</f>
        <v/>
      </c>
      <c r="L300" s="9" t="n"/>
      <c r="M300" s="7">
        <f>IF(J300="","",J300*L300)</f>
        <v/>
      </c>
      <c r="N300" s="7">
        <f>IF(J300="","",J300-K300-M300-Settings!$B$9)</f>
        <v/>
      </c>
      <c r="O300" s="7">
        <f>IF(OR(H300="",H300=0),"",N300/H300)</f>
        <v/>
      </c>
      <c r="Q300" s="11" t="n"/>
    </row>
    <row r="301">
      <c r="A301" s="11" t="n"/>
      <c r="I301" s="7" t="n"/>
      <c r="J301" s="7">
        <f>IF(F301="","",F301*I301)</f>
        <v/>
      </c>
      <c r="K301" s="7">
        <f>IF(G301="","",G301*Settings!$B$5/1000*Settings!$B$6)</f>
        <v/>
      </c>
      <c r="L301" s="9" t="n"/>
      <c r="M301" s="7">
        <f>IF(J301="","",J301*L301)</f>
        <v/>
      </c>
      <c r="N301" s="7">
        <f>IF(J301="","",J301-K301-M301-Settings!$B$9)</f>
        <v/>
      </c>
      <c r="O301" s="7">
        <f>IF(OR(H301="",H301=0),"",N301/H301)</f>
        <v/>
      </c>
      <c r="Q301" s="11" t="n"/>
    </row>
    <row r="302">
      <c r="A302" s="11" t="n"/>
      <c r="I302" s="7" t="n"/>
      <c r="J302" s="7">
        <f>IF(F302="","",F302*I302)</f>
        <v/>
      </c>
      <c r="K302" s="7">
        <f>IF(G302="","",G302*Settings!$B$5/1000*Settings!$B$6)</f>
        <v/>
      </c>
      <c r="L302" s="9" t="n"/>
      <c r="M302" s="7">
        <f>IF(J302="","",J302*L302)</f>
        <v/>
      </c>
      <c r="N302" s="7">
        <f>IF(J302="","",J302-K302-M302-Settings!$B$9)</f>
        <v/>
      </c>
      <c r="O302" s="7">
        <f>IF(OR(H302="",H302=0),"",N302/H302)</f>
        <v/>
      </c>
      <c r="Q302" s="11" t="n"/>
    </row>
    <row r="303">
      <c r="A303" s="11" t="n"/>
      <c r="I303" s="7" t="n"/>
      <c r="J303" s="7">
        <f>IF(F303="","",F303*I303)</f>
        <v/>
      </c>
      <c r="K303" s="7">
        <f>IF(G303="","",G303*Settings!$B$5/1000*Settings!$B$6)</f>
        <v/>
      </c>
      <c r="L303" s="9" t="n"/>
      <c r="M303" s="7">
        <f>IF(J303="","",J303*L303)</f>
        <v/>
      </c>
      <c r="N303" s="7">
        <f>IF(J303="","",J303-K303-M303-Settings!$B$9)</f>
        <v/>
      </c>
      <c r="O303" s="7">
        <f>IF(OR(H303="",H303=0),"",N303/H303)</f>
        <v/>
      </c>
      <c r="Q303" s="11" t="n"/>
    </row>
    <row r="304">
      <c r="A304" s="11" t="n"/>
      <c r="I304" s="7" t="n"/>
      <c r="J304" s="7">
        <f>IF(F304="","",F304*I304)</f>
        <v/>
      </c>
      <c r="K304" s="7">
        <f>IF(G304="","",G304*Settings!$B$5/1000*Settings!$B$6)</f>
        <v/>
      </c>
      <c r="L304" s="9" t="n"/>
      <c r="M304" s="7">
        <f>IF(J304="","",J304*L304)</f>
        <v/>
      </c>
      <c r="N304" s="7">
        <f>IF(J304="","",J304-K304-M304-Settings!$B$9)</f>
        <v/>
      </c>
      <c r="O304" s="7">
        <f>IF(OR(H304="",H304=0),"",N304/H304)</f>
        <v/>
      </c>
      <c r="Q304" s="11" t="n"/>
    </row>
  </sheetData>
  <dataValidations count="2">
    <dataValidation sqref="P5:P304" showDropDown="0" showInputMessage="0" showErrorMessage="0" allowBlank="1" type="list">
      <formula1>"Quoted,Confirmed,Printing,Ready,Delivered,Paid,Cancelled"</formula1>
    </dataValidation>
    <dataValidation sqref="D5:D304" showDropDown="0" showInputMessage="0" showErrorMessage="0" allowBlank="1" type="list">
      <formula1>"Local classifieds,Facebook,Market stall,Repeat customer,Business order,Etsy,Word of mouth"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2" customWidth="1" min="4" max="4"/>
    <col width="11" customWidth="1" min="5" max="5"/>
    <col width="12" customWidth="1" min="6" max="6"/>
    <col width="11" customWidth="1" min="7" max="7"/>
    <col width="14" customWidth="1" min="8" max="8"/>
    <col width="12" customWidth="1" min="9" max="9"/>
  </cols>
  <sheetData>
    <row r="1">
      <c r="A1" s="1" t="inlineStr">
        <is>
          <t>The month</t>
        </is>
      </c>
    </row>
    <row r="2">
      <c r="A2" s="2" t="inlineStr">
        <is>
          <t>Counts orders by their date. Paid and unpaid alike -- chase the gap.</t>
        </is>
      </c>
    </row>
    <row r="4" ht="26" customHeight="1">
      <c r="A4" s="3" t="inlineStr">
        <is>
          <t>Month</t>
        </is>
      </c>
      <c r="B4" s="3" t="inlineStr">
        <is>
          <t>Orders</t>
        </is>
      </c>
      <c r="C4" s="3" t="inlineStr">
        <is>
          <t>Revenue</t>
        </is>
      </c>
      <c r="D4" s="3" t="inlineStr">
        <is>
          <t>Material</t>
        </is>
      </c>
      <c r="E4" s="3" t="inlineStr">
        <is>
          <t>Fees</t>
        </is>
      </c>
      <c r="F4" s="3" t="inlineStr">
        <is>
          <t>Profit</t>
        </is>
      </c>
      <c r="G4" s="3" t="inlineStr">
        <is>
          <t>Print hrs</t>
        </is>
      </c>
      <c r="H4" s="3" t="inlineStr">
        <is>
          <t>Per print-hr</t>
        </is>
      </c>
      <c r="I4" s="3" t="inlineStr">
        <is>
          <t>Target</t>
        </is>
      </c>
    </row>
    <row r="5">
      <c r="A5" s="12" t="inlineStr">
        <is>
          <t>2026-09</t>
        </is>
      </c>
      <c r="B5">
        <f>COUNTIFS(Orders!$A$5:$A$304,"&gt;="&amp;DATE(2026,9,1),Orders!$A$5:$A$304,"&lt;"&amp;DATE(2026,10,1))</f>
        <v/>
      </c>
      <c r="C5" s="7">
        <f>SUMIFS(Orders!$J$5:$J$304,Orders!$A$5:$A$304,"&gt;="&amp;DATE(2026,9,1),Orders!$A$5:$A$304,"&lt;"&amp;DATE(2026,10,1))</f>
        <v/>
      </c>
      <c r="D5" s="7">
        <f>SUMIFS(Orders!$K$5:$K$304,Orders!$A$5:$A$304,"&gt;="&amp;DATE(2026,9,1),Orders!$A$5:$A$304,"&lt;"&amp;DATE(2026,10,1))</f>
        <v/>
      </c>
      <c r="E5" s="7">
        <f>SUMIFS(Orders!$M$5:$M$304,Orders!$A$5:$A$304,"&gt;="&amp;DATE(2026,9,1),Orders!$A$5:$A$304,"&lt;"&amp;DATE(2026,10,1))</f>
        <v/>
      </c>
      <c r="F5" s="7">
        <f>SUMIFS(Orders!$N$5:$N$304,Orders!$A$5:$A$304,"&gt;="&amp;DATE(2026,9,1),Orders!$A$5:$A$304,"&lt;"&amp;DATE(2026,10,1))</f>
        <v/>
      </c>
      <c r="G5">
        <f>SUMIFS(Orders!$H$5:$H$304,Orders!$A$5:$A$304,"&gt;="&amp;DATE(2026,9,1),Orders!$A$5:$A$304,"&lt;"&amp;DATE(2026,10,1))</f>
        <v/>
      </c>
      <c r="H5" s="7">
        <f>IF(G5=0,0,F5/G5)</f>
        <v/>
      </c>
      <c r="I5" s="7" t="n">
        <v>200</v>
      </c>
    </row>
    <row r="6">
      <c r="A6" s="12" t="inlineStr">
        <is>
          <t>2026-10</t>
        </is>
      </c>
      <c r="B6">
        <f>COUNTIFS(Orders!$A$5:$A$304,"&gt;="&amp;DATE(2026,10,1),Orders!$A$5:$A$304,"&lt;"&amp;DATE(2026,11,1))</f>
        <v/>
      </c>
      <c r="C6" s="7">
        <f>SUMIFS(Orders!$J$5:$J$304,Orders!$A$5:$A$304,"&gt;="&amp;DATE(2026,10,1),Orders!$A$5:$A$304,"&lt;"&amp;DATE(2026,11,1))</f>
        <v/>
      </c>
      <c r="D6" s="7">
        <f>SUMIFS(Orders!$K$5:$K$304,Orders!$A$5:$A$304,"&gt;="&amp;DATE(2026,10,1),Orders!$A$5:$A$304,"&lt;"&amp;DATE(2026,11,1))</f>
        <v/>
      </c>
      <c r="E6" s="7">
        <f>SUMIFS(Orders!$M$5:$M$304,Orders!$A$5:$A$304,"&gt;="&amp;DATE(2026,10,1),Orders!$A$5:$A$304,"&lt;"&amp;DATE(2026,11,1))</f>
        <v/>
      </c>
      <c r="F6" s="7">
        <f>SUMIFS(Orders!$N$5:$N$304,Orders!$A$5:$A$304,"&gt;="&amp;DATE(2026,10,1),Orders!$A$5:$A$304,"&lt;"&amp;DATE(2026,11,1))</f>
        <v/>
      </c>
      <c r="G6">
        <f>SUMIFS(Orders!$H$5:$H$304,Orders!$A$5:$A$304,"&gt;="&amp;DATE(2026,10,1),Orders!$A$5:$A$304,"&lt;"&amp;DATE(2026,11,1))</f>
        <v/>
      </c>
      <c r="H6" s="7">
        <f>IF(G6=0,0,F6/G6)</f>
        <v/>
      </c>
      <c r="I6" s="7" t="n">
        <v>400</v>
      </c>
    </row>
    <row r="7">
      <c r="A7" s="12" t="inlineStr">
        <is>
          <t>2026-11</t>
        </is>
      </c>
      <c r="B7">
        <f>COUNTIFS(Orders!$A$5:$A$304,"&gt;="&amp;DATE(2026,11,1),Orders!$A$5:$A$304,"&lt;"&amp;DATE(2026,12,1))</f>
        <v/>
      </c>
      <c r="C7" s="7">
        <f>SUMIFS(Orders!$J$5:$J$304,Orders!$A$5:$A$304,"&gt;="&amp;DATE(2026,11,1),Orders!$A$5:$A$304,"&lt;"&amp;DATE(2026,12,1))</f>
        <v/>
      </c>
      <c r="D7" s="7">
        <f>SUMIFS(Orders!$K$5:$K$304,Orders!$A$5:$A$304,"&gt;="&amp;DATE(2026,11,1),Orders!$A$5:$A$304,"&lt;"&amp;DATE(2026,12,1))</f>
        <v/>
      </c>
      <c r="E7" s="7">
        <f>SUMIFS(Orders!$M$5:$M$304,Orders!$A$5:$A$304,"&gt;="&amp;DATE(2026,11,1),Orders!$A$5:$A$304,"&lt;"&amp;DATE(2026,12,1))</f>
        <v/>
      </c>
      <c r="F7" s="7">
        <f>SUMIFS(Orders!$N$5:$N$304,Orders!$A$5:$A$304,"&gt;="&amp;DATE(2026,11,1),Orders!$A$5:$A$304,"&lt;"&amp;DATE(2026,12,1))</f>
        <v/>
      </c>
      <c r="G7">
        <f>SUMIFS(Orders!$H$5:$H$304,Orders!$A$5:$A$304,"&gt;="&amp;DATE(2026,11,1),Orders!$A$5:$A$304,"&lt;"&amp;DATE(2026,12,1))</f>
        <v/>
      </c>
      <c r="H7" s="7">
        <f>IF(G7=0,0,F7/G7)</f>
        <v/>
      </c>
      <c r="I7" s="7" t="n">
        <v>700</v>
      </c>
    </row>
    <row r="8">
      <c r="A8" s="12" t="inlineStr">
        <is>
          <t>2026-12</t>
        </is>
      </c>
      <c r="B8">
        <f>COUNTIFS(Orders!$A$5:$A$304,"&gt;="&amp;DATE(2026,12,1),Orders!$A$5:$A$304,"&lt;"&amp;DATE(2027,1,1))</f>
        <v/>
      </c>
      <c r="C8" s="7">
        <f>SUMIFS(Orders!$J$5:$J$304,Orders!$A$5:$A$304,"&gt;="&amp;DATE(2026,12,1),Orders!$A$5:$A$304,"&lt;"&amp;DATE(2027,1,1))</f>
        <v/>
      </c>
      <c r="D8" s="7">
        <f>SUMIFS(Orders!$K$5:$K$304,Orders!$A$5:$A$304,"&gt;="&amp;DATE(2026,12,1),Orders!$A$5:$A$304,"&lt;"&amp;DATE(2027,1,1))</f>
        <v/>
      </c>
      <c r="E8" s="7">
        <f>SUMIFS(Orders!$M$5:$M$304,Orders!$A$5:$A$304,"&gt;="&amp;DATE(2026,12,1),Orders!$A$5:$A$304,"&lt;"&amp;DATE(2027,1,1))</f>
        <v/>
      </c>
      <c r="F8" s="7">
        <f>SUMIFS(Orders!$N$5:$N$304,Orders!$A$5:$A$304,"&gt;="&amp;DATE(2026,12,1),Orders!$A$5:$A$304,"&lt;"&amp;DATE(2027,1,1))</f>
        <v/>
      </c>
      <c r="G8">
        <f>SUMIFS(Orders!$H$5:$H$304,Orders!$A$5:$A$304,"&gt;="&amp;DATE(2026,12,1),Orders!$A$5:$A$304,"&lt;"&amp;DATE(2027,1,1))</f>
        <v/>
      </c>
      <c r="H8" s="7">
        <f>IF(G8=0,0,F8/G8)</f>
        <v/>
      </c>
      <c r="I8" s="7" t="n">
        <v>1200</v>
      </c>
    </row>
    <row r="9">
      <c r="A9" s="12" t="inlineStr">
        <is>
          <t>2027-01</t>
        </is>
      </c>
      <c r="B9">
        <f>COUNTIFS(Orders!$A$5:$A$304,"&gt;="&amp;DATE(2027,1,1),Orders!$A$5:$A$304,"&lt;"&amp;DATE(2027,2,1))</f>
        <v/>
      </c>
      <c r="C9" s="7">
        <f>SUMIFS(Orders!$J$5:$J$304,Orders!$A$5:$A$304,"&gt;="&amp;DATE(2027,1,1),Orders!$A$5:$A$304,"&lt;"&amp;DATE(2027,2,1))</f>
        <v/>
      </c>
      <c r="D9" s="7">
        <f>SUMIFS(Orders!$K$5:$K$304,Orders!$A$5:$A$304,"&gt;="&amp;DATE(2027,1,1),Orders!$A$5:$A$304,"&lt;"&amp;DATE(2027,2,1))</f>
        <v/>
      </c>
      <c r="E9" s="7">
        <f>SUMIFS(Orders!$M$5:$M$304,Orders!$A$5:$A$304,"&gt;="&amp;DATE(2027,1,1),Orders!$A$5:$A$304,"&lt;"&amp;DATE(2027,2,1))</f>
        <v/>
      </c>
      <c r="F9" s="7">
        <f>SUMIFS(Orders!$N$5:$N$304,Orders!$A$5:$A$304,"&gt;="&amp;DATE(2027,1,1),Orders!$A$5:$A$304,"&lt;"&amp;DATE(2027,2,1))</f>
        <v/>
      </c>
      <c r="G9">
        <f>SUMIFS(Orders!$H$5:$H$304,Orders!$A$5:$A$304,"&gt;="&amp;DATE(2027,1,1),Orders!$A$5:$A$304,"&lt;"&amp;DATE(2027,2,1))</f>
        <v/>
      </c>
      <c r="H9" s="7">
        <f>IF(G9=0,0,F9/G9)</f>
        <v/>
      </c>
      <c r="I9" s="7" t="n">
        <v>350</v>
      </c>
    </row>
    <row r="10">
      <c r="A10" s="12" t="inlineStr">
        <is>
          <t>2027-02</t>
        </is>
      </c>
      <c r="B10">
        <f>COUNTIFS(Orders!$A$5:$A$304,"&gt;="&amp;DATE(2027,2,1),Orders!$A$5:$A$304,"&lt;"&amp;DATE(2027,3,1))</f>
        <v/>
      </c>
      <c r="C10" s="7">
        <f>SUMIFS(Orders!$J$5:$J$304,Orders!$A$5:$A$304,"&gt;="&amp;DATE(2027,2,1),Orders!$A$5:$A$304,"&lt;"&amp;DATE(2027,3,1))</f>
        <v/>
      </c>
      <c r="D10" s="7">
        <f>SUMIFS(Orders!$K$5:$K$304,Orders!$A$5:$A$304,"&gt;="&amp;DATE(2027,2,1),Orders!$A$5:$A$304,"&lt;"&amp;DATE(2027,3,1))</f>
        <v/>
      </c>
      <c r="E10" s="7">
        <f>SUMIFS(Orders!$M$5:$M$304,Orders!$A$5:$A$304,"&gt;="&amp;DATE(2027,2,1),Orders!$A$5:$A$304,"&lt;"&amp;DATE(2027,3,1))</f>
        <v/>
      </c>
      <c r="F10" s="7">
        <f>SUMIFS(Orders!$N$5:$N$304,Orders!$A$5:$A$304,"&gt;="&amp;DATE(2027,2,1),Orders!$A$5:$A$304,"&lt;"&amp;DATE(2027,3,1))</f>
        <v/>
      </c>
      <c r="G10">
        <f>SUMIFS(Orders!$H$5:$H$304,Orders!$A$5:$A$304,"&gt;="&amp;DATE(2027,2,1),Orders!$A$5:$A$304,"&lt;"&amp;DATE(2027,3,1))</f>
        <v/>
      </c>
      <c r="H10" s="7">
        <f>IF(G10=0,0,F10/G10)</f>
        <v/>
      </c>
      <c r="I10" s="7" t="n">
        <v>350</v>
      </c>
    </row>
    <row r="11">
      <c r="A11" s="10" t="inlineStr">
        <is>
          <t>Total</t>
        </is>
      </c>
      <c r="B11">
        <f>SUM(B5:B10)</f>
        <v/>
      </c>
      <c r="C11" s="7">
        <f>SUM(C5:C10)</f>
        <v/>
      </c>
      <c r="D11" s="7">
        <f>SUM(D5:D10)</f>
        <v/>
      </c>
      <c r="E11" s="7">
        <f>SUM(E5:E10)</f>
        <v/>
      </c>
      <c r="F11" s="7">
        <f>SUM(F5:F10)</f>
        <v/>
      </c>
      <c r="G11" s="7">
        <f>SUM(G5:G10)</f>
        <v/>
      </c>
    </row>
    <row r="13">
      <c r="A13" s="2" t="inlineStr">
        <is>
          <t>If a Q4 month lands under 200 EUR with no repeat customer, change the niche -- not the equipment.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2026-08-24T15:41:36Z</dcterms:created>
  <dcterms:modified xsi:type="dcterms:W3CDTF">2026-08-24T15:41:36Z</dcterms:modified>
</cp:coreProperties>
</file>